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01" codeName="{2AF44A5B-4F9A-30C1-5B58-47010ADB2D0F}"/>
  <workbookPr codeName="EstaPasta_de_trabalho" defaultThemeVersion="124226"/>
  <mc:AlternateContent xmlns:mc="http://schemas.openxmlformats.org/markup-compatibility/2006">
    <mc:Choice Requires="x15">
      <x15ac:absPath xmlns:x15ac="http://schemas.microsoft.com/office/spreadsheetml/2010/11/ac" url="C:\Users\regispc\Documents\SITE FINANCEIRO\PLANILHAS PUBLICADAS NO SITE\REVISADAS\Versão Gratuita\"/>
    </mc:Choice>
  </mc:AlternateContent>
  <xr:revisionPtr revIDLastSave="0" documentId="13_ncr:1_{5CDB56F9-706E-469B-891E-8F0F89B82119}" xr6:coauthVersionLast="38" xr6:coauthVersionMax="38" xr10:uidLastSave="{00000000-0000-0000-0000-000000000000}"/>
  <bookViews>
    <workbookView xWindow="0" yWindow="0" windowWidth="20490" windowHeight="7485" tabRatio="773" xr2:uid="{00000000-000D-0000-FFFF-FFFF00000000}"/>
  </bookViews>
  <sheets>
    <sheet name="Menu" sheetId="12" r:id="rId1"/>
    <sheet name="Cad. Tipos de Serviços" sheetId="25" r:id="rId2"/>
    <sheet name="Cad. Tomadores" sheetId="15" r:id="rId3"/>
    <sheet name="Cad. Prestadores" sheetId="16" r:id="rId4"/>
    <sheet name="Cad. Cidades" sheetId="21" r:id="rId5"/>
    <sheet name="REGISTRO DOS RPAs" sheetId="19" r:id="rId6"/>
    <sheet name="RPA - Serviços" sheetId="10" state="hidden" r:id="rId7"/>
    <sheet name="Tabela IRRF e INSS" sheetId="24" state="hidden" r:id="rId8"/>
    <sheet name="RPAs Registrados" sheetId="20" r:id="rId9"/>
    <sheet name="Relatório Serv. Prestados" sheetId="26" state="hidden" r:id="rId10"/>
    <sheet name="Apoio" sheetId="27" state="hidden" r:id="rId11"/>
  </sheets>
  <functionGroups builtInGroupCount="19"/>
  <definedNames>
    <definedName name="_xlnm._FilterDatabase" localSheetId="4" hidden="1">'Cad. Cidades'!$B$2:$B$4</definedName>
    <definedName name="_xlnm._FilterDatabase" localSheetId="3" hidden="1">'Cad. Prestadores'!$B$2:$J$3</definedName>
    <definedName name="_xlnm._FilterDatabase" localSheetId="1" hidden="1">'Cad. Tipos de Serviços'!$B$2:$F$496</definedName>
    <definedName name="_xlnm._FilterDatabase" localSheetId="2" hidden="1">'Cad. Tomadores'!$B$2:$D$3</definedName>
    <definedName name="_xlnm._FilterDatabase" localSheetId="8" hidden="1">'RPAs Registrados'!$B$2:$AB$2</definedName>
    <definedName name="Aliq_SEST">'REGISTRO DOS RPAs'!$DD$2</definedName>
    <definedName name="_xlnm.Print_Area" localSheetId="3">'Cad. Prestadores'!$B$2:$I$4</definedName>
    <definedName name="_xlnm.Print_Area" localSheetId="1">'Cad. Tipos de Serviços'!$B$2:$D$20</definedName>
    <definedName name="_xlnm.Print_Area" localSheetId="2">'Cad. Tomadores'!$B$2:$D$4</definedName>
    <definedName name="_xlnm.Print_Area" localSheetId="5">'REGISTRO DOS RPAs'!$B$4:$DA$16</definedName>
    <definedName name="_xlnm.Print_Area" localSheetId="6">'RPA - Serviços'!$F$2:$BJ$101</definedName>
    <definedName name="_xlnm.Print_Area" localSheetId="8">'RPAs Registrados'!$B$2:$AA$2</definedName>
    <definedName name="Base_INSS">'REGISTRO DOS RPAs'!$CO$2</definedName>
    <definedName name="Base_IR">'REGISTRO DOS RPAs'!$CT$2</definedName>
    <definedName name="Base_SEST">'REGISTRO DOS RPAs'!$CY$2</definedName>
    <definedName name="Cancelado">'REGISTRO DOS RPAs'!$CG$2</definedName>
    <definedName name="Cidades">OFFSET('Cad. Cidades'!$B$2,1,0,COUNTA('Cad. Cidades'!$B:$B)-1,1)</definedName>
    <definedName name="ContadorRegistros">'REGISTRO DOS RPAs'!$Q$2</definedName>
    <definedName name="DeducaoDependentes">'Tabela IRRF e INSS'!$G$18</definedName>
    <definedName name="Excluir">'REGISTRO DOS RPAs'!$BF$2</definedName>
    <definedName name="LancRestantes">'REGISTRO DOS RPAs'!$V$2</definedName>
    <definedName name="MaiorRPA">'REGISTRO DOS RPAs'!$AB$2</definedName>
    <definedName name="MaiorSpin">'REGISTRO DOS RPAs'!$X$2</definedName>
    <definedName name="MenorRPA">'REGISTRO DOS RPAs'!$AP$2</definedName>
    <definedName name="MostrarMsg">'REGISTRO DOS RPAs'!$B$2</definedName>
    <definedName name="MostrarMsg1">'REGISTRO DOS RPAs'!$J$2</definedName>
    <definedName name="Novo_Editar">'REGISTRO DOS RPAs'!$AS$2</definedName>
    <definedName name="PrestadoresNomes">OFFSET('Cad. Prestadores'!$B$2,1,0,COUNTA('Cad. Prestadores'!$B:$B)-1,1)</definedName>
    <definedName name="PrestadoresTudo">OFFSET('Cad. Prestadores'!$B$2,1,0,COUNTA('Cad. Prestadores'!$B:$B)-1,9)</definedName>
    <definedName name="PV_Tb_IR">'Tabela IRRF e INSS'!$C$12:$G$16</definedName>
    <definedName name="QdeAcessos">'REGISTRO DOS RPAs'!$BC$2</definedName>
    <definedName name="RegAliquotaISS">'REGISTRO DOS RPAs'!$AS$6</definedName>
    <definedName name="RegCidade">'REGISTRO DOS RPAs'!$Q$6</definedName>
    <definedName name="RegData">'REGISTRO DOS RPAs'!$Q$5</definedName>
    <definedName name="RegDescricao">'REGISTRO DOS RPAs'!$Q$9</definedName>
    <definedName name="RegInscrMunicipal">'REGISTRO DOS RPAs'!$BH$12</definedName>
    <definedName name="RegINSS">'REGISTRO DOS RPAs'!$CR$6</definedName>
    <definedName name="RegIRRF">'REGISTRO DOS RPAs'!$CR$7</definedName>
    <definedName name="RegISS">'REGISTRO DOS RPAs'!$CR$9</definedName>
    <definedName name="RegistroMaximo">'REGISTRO DOS RPAs'!$S$2</definedName>
    <definedName name="RegNroDependentes">'REGISTRO DOS RPAs'!$BH$13</definedName>
    <definedName name="RegNroRPA">'REGISTRO DOS RPAs'!$BL$5</definedName>
    <definedName name="RegObservaçoes">'REGISTRO DOS RPAs'!$C$2</definedName>
    <definedName name="RegOutrasDeducoes">'REGISTRO DOS RPAs'!$BH$15</definedName>
    <definedName name="RegOutrasEmpresas">'REGISTRO DOS RPAs'!$AA$13</definedName>
    <definedName name="RegOutrasEmpresasINSS">'REGISTRO DOS RPAs'!$AA$14</definedName>
    <definedName name="RegOutrasEmpresasIRRF">'REGISTRO DOS RPAs'!$AA$15</definedName>
    <definedName name="RegOutrosINSS">'REGISTRO DOS RPAs'!$Q$14</definedName>
    <definedName name="RegOutrosIRRF">'REGISTRO DOS RPAs'!$Q$15</definedName>
    <definedName name="RegOutrosServ">'REGISTRO DOS RPAs'!$Q$13</definedName>
    <definedName name="RegPensaoAlim">'REGISTRO DOS RPAs'!$BH$14</definedName>
    <definedName name="RegPrestador">'REGISTRO DOS RPAs'!$Q$8</definedName>
    <definedName name="RegRespTomador">'REGISTRO DOS RPAs'!$BB$7</definedName>
    <definedName name="RegSEST">'REGISTRO DOS RPAs'!$CR$8</definedName>
    <definedName name="RegSomaOutrosServ">'REGISTRO DOS RPAs'!$DK$2</definedName>
    <definedName name="RegSomaRetINSS">'REGISTRO DOS RPAs'!$DY$2</definedName>
    <definedName name="RegSomaRetIR">'REGISTRO DOS RPAs'!$DR$2</definedName>
    <definedName name="RegTipoServ">'REGISTRO DOS RPAs'!$BB$8</definedName>
    <definedName name="RegTomador">'REGISTRO DOS RPAs'!$Q$7</definedName>
    <definedName name="RegValor">'REGISTRO DOS RPAs'!$Q$12</definedName>
    <definedName name="RegValorLiq">'REGISTRO DOS RPAs'!$CR$10</definedName>
    <definedName name="RetIR">'REGISTRO DOS RPAs'!$DR$2</definedName>
    <definedName name="RPA_AliquotaISS">'RPA - Serviços'!$AU$36</definedName>
    <definedName name="RPA_Cidade">'RPA - Serviços'!$H$43</definedName>
    <definedName name="RPA_Data">'RPA - Serviços'!$AE$43</definedName>
    <definedName name="RPA_Dependentes">'RPA - Serviços'!$AZ$17</definedName>
    <definedName name="RPA_Descricao">'RPA - Serviços'!$H$10</definedName>
    <definedName name="RPA_I_Municipal">'RPA - Serviços'!$AZ$15</definedName>
    <definedName name="RPA_INSS">'RPA - Serviços'!$AZ$33</definedName>
    <definedName name="RPA_INSSOutrosServ">'RPA - Serviços'!$AZ$27</definedName>
    <definedName name="RPA_IRRFOutrosServ">'RPA - Serviços'!$AZ$25</definedName>
    <definedName name="RPA_Nro">'RPA - Serviços'!#REF!</definedName>
    <definedName name="RPA_OutrasRet">'RPA - Serviços'!$AZ$21</definedName>
    <definedName name="RPA_PensaoAlim">'RPA - Serviços'!$AZ$19</definedName>
    <definedName name="RPA_Prestador">'RPA - Serviços'!$AI$5</definedName>
    <definedName name="RPA_Prestador_CPF">'RPA - Serviços'!$AI$6</definedName>
    <definedName name="RPA_Prestador_InscrINSS">'RPA - Serviços'!$AQ$6</definedName>
    <definedName name="RPA_Prestador_InscrPIS">'RPA - Serviços'!$AZ$6</definedName>
    <definedName name="RPA_PrestadorAssinante">'RPA - Serviços'!$AL$49</definedName>
    <definedName name="RPA_Registrada">'REGISTRO DOS RPAs'!$AI$2</definedName>
    <definedName name="RPA_RetencaoIR">'RPA - Serviços'!$AZ$34</definedName>
    <definedName name="RPA_RetencaoISS">'RPA - Serviços'!$AZ$36</definedName>
    <definedName name="RPA_RetencaoSEST">'RPA - Serviços'!$AZ$35</definedName>
    <definedName name="RPA_Tomador">'RPA - Serviços'!$G$5</definedName>
    <definedName name="RPA_TomadorAssinante">'RPA - Serviços'!$G$50</definedName>
    <definedName name="RPA_TomadorAssinatura">'RPA - Serviços'!$G$49</definedName>
    <definedName name="RPA_TomadorCNPJ">'RPA - Serviços'!$G$6</definedName>
    <definedName name="RPA_Valor">'RPA - Serviços'!$AZ$32</definedName>
    <definedName name="RPA_VlrLiq">'RPA - Serviços'!$AZ$37</definedName>
    <definedName name="RPA_VlrOutrosServ">'RPA - Serviços'!$AZ$23</definedName>
    <definedName name="RPAsRegNro">OFFSET('RPAs Registrados'!$B$2,1,0,COUNTA('RPAs Registrados'!$B$3:$B$10000),1)</definedName>
    <definedName name="RPAsRegTD">OFFSET('RPAs Registrados'!$B$2,0,0,COUNTA('RPAs Registrados'!$B$2:$B$10000),29)</definedName>
    <definedName name="RPAsRegTudo">OFFSET('RPAs Registrados'!$B$2,1,0,COUNTA('RPAs Registrados'!$B$3:$B$10000),29)</definedName>
    <definedName name="TipoServNome">OFFSET('Cad. Tipos de Serviços'!$B$2,1,0,COUNTA('Cad. Tipos de Serviços'!$B:$B)-1,1)</definedName>
    <definedName name="TiposServTudo">OFFSET('Cad. Tipos de Serviços'!$B$2,1,0,COUNTA('Cad. Tipos de Serviços'!$B:$B)-1,5)</definedName>
    <definedName name="TomadoresNomes">OFFSET('Cad. Tomadores'!$B$2,1,0,COUNTA('Cad. Tomadores'!$B:$B)-1,1)</definedName>
    <definedName name="TomadoresTudo">OFFSET('Cad. Tomadores'!$B$2,1,0,COUNTA('Cad. Tomadores'!$B:$B)-1,3)</definedName>
    <definedName name="VlrMaxContrib">'Tabela IRRF e INSS'!$G$7</definedName>
    <definedName name="VlrMinIRRF">'Tabela IRRF e INSS'!$G$17</definedName>
  </definedNames>
  <calcPr calcId="191029"/>
  <pivotCaches>
    <pivotCache cacheId="26" r:id="rId12"/>
  </pivotCache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Z37" i="10" l="1"/>
  <c r="AP2" i="19" l="1"/>
  <c r="AQ6" i="10"/>
  <c r="AQ57" i="10" s="1"/>
  <c r="AZ6" i="10"/>
  <c r="AZ88" i="10"/>
  <c r="AU87" i="10"/>
  <c r="AL100" i="10"/>
  <c r="G101" i="10"/>
  <c r="G100" i="10"/>
  <c r="G96" i="10"/>
  <c r="AE94" i="10"/>
  <c r="H94" i="10"/>
  <c r="AZ87" i="10"/>
  <c r="AZ86" i="10"/>
  <c r="AZ85" i="10"/>
  <c r="AZ84" i="10"/>
  <c r="AZ83" i="10"/>
  <c r="H61" i="10"/>
  <c r="AI56" i="10"/>
  <c r="G56" i="10"/>
  <c r="G2" i="10"/>
  <c r="G53" i="10" s="1"/>
  <c r="EW2" i="19"/>
  <c r="EQ2" i="19"/>
  <c r="DY2" i="19" l="1"/>
  <c r="DR2" i="19"/>
  <c r="AZ76" i="10" l="1"/>
  <c r="AZ78" i="10"/>
  <c r="CR5" i="19"/>
  <c r="DD2" i="19"/>
  <c r="C1" i="20"/>
  <c r="D1" i="20" s="1"/>
  <c r="E1" i="20" s="1"/>
  <c r="F1" i="20" s="1"/>
  <c r="G1" i="20" s="1"/>
  <c r="H1" i="20" s="1"/>
  <c r="I1" i="20" s="1"/>
  <c r="J1" i="20" s="1"/>
  <c r="K1" i="20" s="1"/>
  <c r="L1" i="20" s="1"/>
  <c r="M1" i="20" s="1"/>
  <c r="N1" i="20" s="1"/>
  <c r="O1" i="20" s="1"/>
  <c r="P1" i="20" s="1"/>
  <c r="Q1" i="20" s="1"/>
  <c r="R1" i="20" s="1"/>
  <c r="S1" i="20" s="1"/>
  <c r="T1" i="20" s="1"/>
  <c r="U1" i="20" s="1"/>
  <c r="V1" i="20" s="1"/>
  <c r="W1" i="20" s="1"/>
  <c r="X1" i="20" s="1"/>
  <c r="Y1" i="20" s="1"/>
  <c r="Z1" i="20" s="1"/>
  <c r="AA1" i="20" s="1"/>
  <c r="AB1" i="20" s="1"/>
  <c r="AC1" i="20" s="1"/>
  <c r="AD1" i="20" s="1"/>
  <c r="K8" i="24"/>
  <c r="K18" i="24" l="1"/>
  <c r="N18" i="24"/>
  <c r="DK2" i="19" l="1"/>
  <c r="CY2" i="19"/>
  <c r="CT2" i="19"/>
  <c r="CO2" i="19"/>
  <c r="AZ74" i="10" l="1"/>
  <c r="K7" i="24"/>
  <c r="BV2" i="19"/>
  <c r="K26" i="24"/>
  <c r="K24" i="24"/>
  <c r="S17" i="24"/>
  <c r="N7" i="24"/>
  <c r="K14" i="24"/>
  <c r="C16" i="19" l="1"/>
  <c r="AA16" i="19" s="1"/>
  <c r="V2" i="19"/>
  <c r="BB7" i="19" l="1"/>
  <c r="AB2" i="19" l="1"/>
  <c r="BG4" i="19" l="1"/>
  <c r="BH16" i="19"/>
  <c r="X2" i="19"/>
  <c r="K6" i="24"/>
  <c r="K9" i="24" l="1"/>
  <c r="S6" i="24"/>
  <c r="K23" i="24"/>
  <c r="K25" i="24" s="1"/>
  <c r="K27" i="24" s="1"/>
  <c r="AZ57" i="10"/>
  <c r="AI6" i="10"/>
  <c r="AI57" i="10" s="1"/>
  <c r="G6" i="10"/>
  <c r="G57" i="10" s="1"/>
  <c r="H38" i="10"/>
  <c r="H89" i="10" l="1"/>
  <c r="CR8" i="19"/>
  <c r="S9" i="24"/>
  <c r="C16" i="24" l="1"/>
  <c r="C15" i="24"/>
  <c r="C14" i="24"/>
  <c r="C13" i="24"/>
  <c r="G7" i="24"/>
  <c r="C6" i="24"/>
  <c r="C5" i="24"/>
  <c r="N10" i="24" l="1"/>
  <c r="K13" i="24"/>
  <c r="K15" i="24" s="1"/>
  <c r="K16" i="24" s="1"/>
  <c r="K17" i="24" s="1"/>
  <c r="K19" i="24" s="1"/>
  <c r="CR6" i="19" s="1"/>
  <c r="N6" i="24"/>
  <c r="N8" i="24" s="1"/>
  <c r="AZ70" i="10"/>
  <c r="AZ72" i="10" l="1"/>
  <c r="AZ66" i="10"/>
  <c r="AZ68" i="10"/>
  <c r="EF2" i="19" l="1"/>
  <c r="N9" i="24"/>
  <c r="AI2" i="19"/>
  <c r="I2" i="24" s="1"/>
  <c r="R3" i="24" l="1"/>
  <c r="S7" i="24"/>
  <c r="CR9" i="19"/>
  <c r="S10" i="24" s="1"/>
  <c r="N12" i="24" l="1"/>
  <c r="N11" i="24"/>
  <c r="N13" i="24" l="1"/>
  <c r="N14" i="24" s="1"/>
  <c r="N15" i="24" s="1"/>
  <c r="N16" i="24" l="1"/>
  <c r="N17" i="24" s="1"/>
  <c r="M20" i="24" s="1"/>
  <c r="N19" i="24" l="1"/>
  <c r="CR7" i="19" s="1"/>
  <c r="S8" i="24" l="1"/>
  <c r="S15" i="24" s="1"/>
  <c r="S11" i="24" l="1"/>
  <c r="S14" i="24" s="1"/>
  <c r="S16" i="24" s="1"/>
  <c r="CR13" i="19" l="1"/>
  <c r="CR10" i="19"/>
  <c r="CR12" i="19" s="1"/>
  <c r="CR14" i="19" l="1"/>
  <c r="CR15" i="19" s="1"/>
  <c r="S18" i="24" s="1"/>
  <c r="S19" i="24" s="1"/>
  <c r="CR16" i="1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Q12" authorId="0" shapeId="0" xr:uid="{8DBD7929-7449-45C1-B957-F97651B158D9}">
      <text>
        <r>
          <rPr>
            <sz val="9"/>
            <color indexed="81"/>
            <rFont val="Segoe UI"/>
            <family val="2"/>
          </rPr>
          <t>Valor do serviço que está sendo pago por este RPA ao prestador de serviços.</t>
        </r>
      </text>
    </comment>
    <comment ref="Q13" authorId="0" shapeId="0" xr:uid="{AD02851E-FE11-443F-B6FC-00C775B39660}">
      <text>
        <r>
          <rPr>
            <sz val="9"/>
            <color indexed="81"/>
            <rFont val="Segoe UI"/>
            <family val="2"/>
          </rPr>
          <t>Somatório dos RPAs emitidos pela empresa para o mesmo prestador, dentro do mesmo mês de competência.</t>
        </r>
      </text>
    </comment>
    <comment ref="AA13" authorId="0" shapeId="0" xr:uid="{94EB0F35-144D-45A4-9EAE-D3468627D284}">
      <text>
        <r>
          <rPr>
            <sz val="9"/>
            <color indexed="81"/>
            <rFont val="Segoe UI"/>
            <family val="2"/>
          </rPr>
          <t>Somatório dos RPAs emitidos por outras empresas para o mesmo prestador, dentro do mesmo mês de competência.</t>
        </r>
      </text>
    </comment>
    <comment ref="Q14" authorId="0" shapeId="0" xr:uid="{B06A937A-3654-4BFC-9C04-401CE36E5953}">
      <text>
        <r>
          <rPr>
            <sz val="9"/>
            <color indexed="81"/>
            <rFont val="Segoe UI"/>
            <family val="2"/>
          </rPr>
          <t>Somatório das retenções de INSS para os RPAs emitidos pela empresa para o mesmo prestador, dentro do mesmo mês de competência.</t>
        </r>
      </text>
    </comment>
    <comment ref="AA14" authorId="0" shapeId="0" xr:uid="{7E72D278-116E-467E-8F9D-552CC3B5E545}">
      <text>
        <r>
          <rPr>
            <sz val="9"/>
            <color indexed="81"/>
            <rFont val="Segoe UI"/>
            <family val="2"/>
          </rPr>
          <t>Somatório das retenções de INSS para os RPAs emitidos por outras empresas para o mesmo prestador, dentro do mesmo mês de competência.</t>
        </r>
      </text>
    </comment>
    <comment ref="Q15" authorId="0" shapeId="0" xr:uid="{A2ACFF98-CE67-49C7-9206-3F837231FD3D}">
      <text>
        <r>
          <rPr>
            <sz val="9"/>
            <color indexed="81"/>
            <rFont val="Segoe UI"/>
            <family val="2"/>
          </rPr>
          <t>Somatório das retenções de IR para os RPAs emitidos pela empresa para o mesmo prestador, dentro do mesmo mês de competência.</t>
        </r>
      </text>
    </comment>
    <comment ref="AA15" authorId="0" shapeId="0" xr:uid="{1A60438D-DC40-471E-99C4-A619536A8991}">
      <text>
        <r>
          <rPr>
            <sz val="9"/>
            <color indexed="81"/>
            <rFont val="Segoe UI"/>
            <family val="2"/>
          </rPr>
          <t>Somatório das retenções de IR para os RPAs emitidos por outras empresas para o mesmo prestador, dentro do mesmo mês de competência.</t>
        </r>
      </text>
    </comment>
  </commentList>
</comments>
</file>

<file path=xl/sharedStrings.xml><?xml version="1.0" encoding="utf-8"?>
<sst xmlns="http://schemas.openxmlformats.org/spreadsheetml/2006/main" count="221" uniqueCount="147">
  <si>
    <t>Alíquota</t>
  </si>
  <si>
    <t>Vlr. a Deduzir</t>
  </si>
  <si>
    <t>até</t>
  </si>
  <si>
    <t>Salário de Contribuição</t>
  </si>
  <si>
    <t>Dedução Dependentes</t>
  </si>
  <si>
    <t>Retenção do ISS</t>
  </si>
  <si>
    <t>Sub-Total</t>
  </si>
  <si>
    <t>Valor Líquido a Pagar pelos Serviços</t>
  </si>
  <si>
    <t>Nº CPF</t>
  </si>
  <si>
    <t>Descrição dos Serviços</t>
  </si>
  <si>
    <t>Tomador dos Serviços</t>
  </si>
  <si>
    <t>Prestador dos Serviços</t>
  </si>
  <si>
    <t>Retenção do Imposto de Renda</t>
  </si>
  <si>
    <t>CUSTO EFETIVO DO TOMADOR (CONTRATANTE)</t>
  </si>
  <si>
    <t>Empresa Tomadora dos Serviços</t>
  </si>
  <si>
    <t>Prestador dos Serviços Autônomos</t>
  </si>
  <si>
    <t>Nº DEPENDENTES</t>
  </si>
  <si>
    <t>Nº CNPJ</t>
  </si>
  <si>
    <t>DATA DO RPA</t>
  </si>
  <si>
    <t>DESCRIÇÃO DOS SERVIÇOS</t>
  </si>
  <si>
    <t>TOMADOR DOS SERVIÇOS</t>
  </si>
  <si>
    <t>PRESTADOR DOS SERVIÇOS</t>
  </si>
  <si>
    <t>Valor dos Serviços Prestados</t>
  </si>
  <si>
    <t>Valor Base para o Cálculo do IR</t>
  </si>
  <si>
    <t>INSS a Recolher ao Erário</t>
  </si>
  <si>
    <t>Valor a Pagar ao Prestador dos Serviços</t>
  </si>
  <si>
    <t>Custo Total para o Tomador</t>
  </si>
  <si>
    <t>Local (Cidade)</t>
  </si>
  <si>
    <t>Data de Emissão do RPA</t>
  </si>
  <si>
    <t>ALÍQUOTA ISS</t>
  </si>
  <si>
    <t>INSCR. MUNICIPAL</t>
  </si>
  <si>
    <t>RESPONSÁVEL</t>
  </si>
  <si>
    <t>STATUS</t>
  </si>
  <si>
    <t>Nº</t>
  </si>
  <si>
    <t>LOCAL (CIDADE)</t>
  </si>
  <si>
    <t>N</t>
  </si>
  <si>
    <t>CIDADE</t>
  </si>
  <si>
    <t>VLR. PENSÃO ALIMENTÍCIA</t>
  </si>
  <si>
    <t>VLR. OUTRAS DEDUÇÕES</t>
  </si>
  <si>
    <t>Nº INSCRIÇÃO NO INSS</t>
  </si>
  <si>
    <t>OBSERVAÇÕES</t>
  </si>
  <si>
    <t>Descrição</t>
  </si>
  <si>
    <t>Serviço Atual</t>
  </si>
  <si>
    <t>Retenção para o INSS</t>
  </si>
  <si>
    <t>Dedução Pensão Alimentícia</t>
  </si>
  <si>
    <t>Outras Deduções</t>
  </si>
  <si>
    <t>Dedução pela Tabela do IR</t>
  </si>
  <si>
    <t>Retenção ao INSS</t>
  </si>
  <si>
    <t>Retençao ao INSS</t>
  </si>
  <si>
    <t>Retenção do Imposto de Renda - IRRF</t>
  </si>
  <si>
    <t>Nº de Dependentes, para efeito de redução da base de cálculo do IRRF</t>
  </si>
  <si>
    <t>Dedução de Pensão Alimentícia, para efeito de redução da base de cálculo do IRRF</t>
  </si>
  <si>
    <t>Outras deduções, para efeito de redução da base de cálculo do IRRF</t>
  </si>
  <si>
    <t>Outros serviços prestados no mesmo período de competência</t>
  </si>
  <si>
    <t>Outras retenções de INSS sobre os serviços prestados no mesmo período de competência</t>
  </si>
  <si>
    <t>Outros IRRFs sobre os serviços prestados no mesmo período de competência</t>
  </si>
  <si>
    <t>CONTRIB. MUNICIPAL?</t>
  </si>
  <si>
    <t>TOTAL DOS SERVIÇOS PRESTADOS NO MÊS</t>
  </si>
  <si>
    <t>CÁLCULO DO IMPOSTO DE RENDA (IRRF)</t>
  </si>
  <si>
    <t>De</t>
  </si>
  <si>
    <t>Valor</t>
  </si>
  <si>
    <t>CÁLCULO DO INSS</t>
  </si>
  <si>
    <t>Alíquota do IRRF</t>
  </si>
  <si>
    <t>Valor Bruto do IRRF</t>
  </si>
  <si>
    <t>INSS a Ser Retido</t>
  </si>
  <si>
    <t>Imposto de Renda a ser Retido</t>
  </si>
  <si>
    <t>Acima de</t>
  </si>
  <si>
    <t>Valor a ser Retido</t>
  </si>
  <si>
    <t>DEMONSTRATIVO DO VALOR LÍQUIDO A PAGAR</t>
  </si>
  <si>
    <t>Nº PIS/PASEP</t>
  </si>
  <si>
    <t>Retenções a Recolher ao Erário</t>
  </si>
  <si>
    <t>Resp.:</t>
  </si>
  <si>
    <t>Base do Cálculo Mensal</t>
  </si>
  <si>
    <t xml:space="preserve">Deduções por Dependente = &gt;   </t>
  </si>
  <si>
    <t>Possui Inscrição como Contribuinte Municipal, para efeito de isenção do ISS ?</t>
  </si>
  <si>
    <t>DADOS CONCATENADOS</t>
  </si>
  <si>
    <t xml:space="preserve">Valor Mínimo para a retenção do Imposto de Renda = &gt;   </t>
  </si>
  <si>
    <t>Valor do IRRF</t>
  </si>
  <si>
    <t>Nº Dependentes:</t>
  </si>
  <si>
    <t>Inscrito como Contribuinte Municipal?:</t>
  </si>
  <si>
    <t>Valor para Pensão Alimentícia:</t>
  </si>
  <si>
    <t>Valor de Outras Deduções:</t>
  </si>
  <si>
    <t>IRRF</t>
  </si>
  <si>
    <t>Valor Líq. a Pagar pelos Serviços</t>
  </si>
  <si>
    <t>Valor a Pagar ao Prest. Serviços</t>
  </si>
  <si>
    <t>Alíquota Tabela do INSS</t>
  </si>
  <si>
    <t xml:space="preserve">Valor Máximo de Contribuição =&gt;   </t>
  </si>
  <si>
    <t>TABELA DO INSS</t>
  </si>
  <si>
    <t>TABELA DO IMPOSTO DE RENDA</t>
  </si>
  <si>
    <t>Quota Empreendimentos Imobiliários Ltda.</t>
  </si>
  <si>
    <t>Jorj Petru Kalman</t>
  </si>
  <si>
    <t>São Paulo,</t>
  </si>
  <si>
    <t>TIPO DE SERVIÇO</t>
  </si>
  <si>
    <t>BASE INSS</t>
  </si>
  <si>
    <t>BASE IR</t>
  </si>
  <si>
    <t>BASE SEST/SENAT</t>
  </si>
  <si>
    <t>Serviços em Geral</t>
  </si>
  <si>
    <t>Transportes</t>
  </si>
  <si>
    <t>Tipo:</t>
  </si>
  <si>
    <t>Base de Cálculo</t>
  </si>
  <si>
    <t>Retenções Anteriores</t>
  </si>
  <si>
    <t>Total dos Serviços no Mês</t>
  </si>
  <si>
    <t>CÁLCULO DO SEST/SENAT</t>
  </si>
  <si>
    <t>Alíquota SEST/SENAT</t>
  </si>
  <si>
    <t>Retenção ao SEST/SENAT</t>
  </si>
  <si>
    <t>Retençao ao SEST/SENAT</t>
  </si>
  <si>
    <t>Alíquota do INSS Patronal</t>
  </si>
  <si>
    <t>ALÍQUOTA SEST/SENAT</t>
  </si>
  <si>
    <t>MÊS</t>
  </si>
  <si>
    <t>ANO</t>
  </si>
  <si>
    <t>Outras Empresas</t>
  </si>
  <si>
    <t>Esta Empresa</t>
  </si>
  <si>
    <t>Valor Retido ao INSS</t>
  </si>
  <si>
    <t>VALOR OUTRAS EMPRESAS</t>
  </si>
  <si>
    <t xml:space="preserve">% Aliquota ISS </t>
  </si>
  <si>
    <t>Valor do Serviço Atual</t>
  </si>
  <si>
    <t>Serv. Ant. Mesma Empresa</t>
  </si>
  <si>
    <t>Serv. Ant. Outras Empresas</t>
  </si>
  <si>
    <t>INSS OUTRAS EMPRESAS</t>
  </si>
  <si>
    <t>IRRF OUTRAS EMPRESAS</t>
  </si>
  <si>
    <t>VALOR SERVIÇOS ANTERIORES</t>
  </si>
  <si>
    <t>INSS ANTERIOR</t>
  </si>
  <si>
    <t>IRRF ANTERIOR</t>
  </si>
  <si>
    <t>ISS</t>
  </si>
  <si>
    <t>SEST/SENAT</t>
  </si>
  <si>
    <t>INSS</t>
  </si>
  <si>
    <t>VALOR SERVIÇO</t>
  </si>
  <si>
    <t>VALOR LÍQ.</t>
  </si>
  <si>
    <t xml:space="preserve">VALOR LÍQ. </t>
  </si>
  <si>
    <t>Total Geral</t>
  </si>
  <si>
    <t xml:space="preserve">INSS </t>
  </si>
  <si>
    <t xml:space="preserve">IRRF </t>
  </si>
  <si>
    <t xml:space="preserve">ISS </t>
  </si>
  <si>
    <t xml:space="preserve">SEST/SENAT </t>
  </si>
  <si>
    <t xml:space="preserve">SERVIÇO </t>
  </si>
  <si>
    <t>Valores</t>
  </si>
  <si>
    <t>NOME</t>
  </si>
  <si>
    <t>RPA  Nº</t>
  </si>
  <si>
    <t>% Base de Cálculo</t>
  </si>
  <si>
    <t>Valor de Outros RPAs</t>
  </si>
  <si>
    <t>Valor a ser Retido ao INSS</t>
  </si>
  <si>
    <t>Régis Marinho</t>
  </si>
  <si>
    <t>NÃO</t>
  </si>
  <si>
    <t>serviços de tranporte rodoviário.</t>
  </si>
  <si>
    <t>asaasasa</t>
  </si>
  <si>
    <t>Senha</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</si>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</sst>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quot;R$&quot;* #,##0.00_);_(&quot;R$&quot;* \(#,##0.00\);_(&quot;R$&quot;* &quot;-&quot;??_);_(@_)"/>
    <numFmt numFmtId="165" formatCode="_(* #,##0.00_);_(* \(#,##0.00\);_(* &quot;-&quot;??_);_(@_)"/>
    <numFmt numFmtId="166" formatCode="_-&quot;R$&quot;\ * #,##0.00_-;\-&quot;R$&quot;\ * #,##0.00_-;_-&quot;R$&quot;\ * &quot;-&quot;??_-;_-@_-"/>
    <numFmt numFmtId="167" formatCode="_(&quot;R$ &quot;* #,##0.00_);_(&quot;R$ &quot;* \(#,##0.00\);_(&quot;R$ &quot;* &quot;-&quot;??_);_(@_)"/>
    <numFmt numFmtId="168" formatCode="_([$R$ -416]* #,##0.00_);_([$R$ -416]* \(#,##0.00\);_([$R$ -416]* &quot;-&quot;??_);_(@_)"/>
    <numFmt numFmtId="169" formatCode="0.0%"/>
    <numFmt numFmtId="170" formatCode="_-[$R$-416]* #,##0.00_-;\-[$R$-416]* #,##0.00_-;_-[$R$-416]* &quot;-&quot;??_-;_-@_-"/>
    <numFmt numFmtId="171" formatCode="000000000\-00"/>
    <numFmt numFmtId="172" formatCode="[$-F800]dddd\,\ mmmm\ dd\,\ yyyy"/>
    <numFmt numFmtId="173" formatCode="[$-416]mmmm\-yy;@"/>
    <numFmt numFmtId="174" formatCode="_-[$R$-416]\ * #,##0.00_-;\-[$R$-416]\ * #,##0.00_-;_-[$R$-416]\ * &quot;-&quot;??_-;_-@_-"/>
    <numFmt numFmtId="175" formatCode="#,##0.00_ ;[Red]\-#,##0.00\ "/>
  </numFmts>
  <fonts count="36" x14ac:knownFonts="1">
    <font>
      <sz val="11"/>
      <color theme="1"/>
      <name val="Calibri"/>
      <family val="2"/>
      <scheme val="minor"/>
    </font>
    <font>
      <sz val="11"/>
      <color theme="1"/>
      <name val="Calibri"/>
      <family val="2"/>
      <scheme val="minor"/>
    </font>
    <font>
      <sz val="10"/>
      <color theme="1"/>
      <name val="Arial"/>
      <family val="2"/>
    </font>
    <font>
      <sz val="10"/>
      <name val="Arial"/>
      <family val="2"/>
    </font>
    <font>
      <b/>
      <sz val="11"/>
      <color theme="1"/>
      <name val="Calibri"/>
      <family val="2"/>
      <scheme val="minor"/>
    </font>
    <font>
      <i/>
      <sz val="11"/>
      <color theme="1"/>
      <name val="Calibri"/>
      <family val="2"/>
      <scheme val="minor"/>
    </font>
    <font>
      <b/>
      <i/>
      <sz val="14"/>
      <color theme="1"/>
      <name val="Calibri"/>
      <family val="2"/>
      <scheme val="minor"/>
    </font>
    <font>
      <sz val="8"/>
      <color rgb="FF000000"/>
      <name val="Segoe UI"/>
      <family val="2"/>
    </font>
    <font>
      <b/>
      <i/>
      <sz val="12"/>
      <color theme="1"/>
      <name val="Calibri"/>
      <family val="2"/>
      <scheme val="minor"/>
    </font>
    <font>
      <b/>
      <sz val="9"/>
      <name val="Arial"/>
      <family val="2"/>
    </font>
    <font>
      <b/>
      <sz val="11"/>
      <color theme="0" tint="-0.499984740745262"/>
      <name val="Calibri"/>
      <family val="2"/>
      <scheme val="minor"/>
    </font>
    <font>
      <sz val="11"/>
      <color theme="0" tint="-0.34998626667073579"/>
      <name val="Calibri"/>
      <family val="2"/>
      <scheme val="minor"/>
    </font>
    <font>
      <b/>
      <sz val="11"/>
      <color theme="0"/>
      <name val="Calibri"/>
      <family val="2"/>
      <scheme val="minor"/>
    </font>
    <font>
      <sz val="9"/>
      <color theme="1"/>
      <name val="Calibri"/>
      <family val="2"/>
      <scheme val="minor"/>
    </font>
    <font>
      <sz val="9"/>
      <name val="Calibri"/>
      <family val="2"/>
      <scheme val="minor"/>
    </font>
    <font>
      <b/>
      <sz val="9"/>
      <name val="Calibri"/>
      <family val="2"/>
      <scheme val="minor"/>
    </font>
    <font>
      <b/>
      <sz val="9"/>
      <color theme="0"/>
      <name val="Calibri"/>
      <family val="2"/>
      <scheme val="minor"/>
    </font>
    <font>
      <i/>
      <sz val="9"/>
      <name val="Arial"/>
      <family val="2"/>
    </font>
    <font>
      <sz val="9"/>
      <name val="Arial"/>
      <family val="2"/>
    </font>
    <font>
      <b/>
      <i/>
      <sz val="9"/>
      <name val="Arial"/>
      <family val="2"/>
    </font>
    <font>
      <b/>
      <sz val="11"/>
      <color rgb="FFFF0000"/>
      <name val="Calibri"/>
      <family val="2"/>
      <scheme val="minor"/>
    </font>
    <font>
      <b/>
      <sz val="11"/>
      <color theme="9" tint="-0.499984740745262"/>
      <name val="Calibri"/>
      <family val="2"/>
      <scheme val="minor"/>
    </font>
    <font>
      <sz val="9"/>
      <color theme="0" tint="-0.499984740745262"/>
      <name val="Calibri"/>
      <family val="2"/>
      <scheme val="minor"/>
    </font>
    <font>
      <i/>
      <sz val="9"/>
      <color theme="1" tint="0.34998626667073579"/>
      <name val="Calibri"/>
      <family val="2"/>
      <scheme val="minor"/>
    </font>
    <font>
      <i/>
      <sz val="9"/>
      <color theme="5" tint="-0.249977111117893"/>
      <name val="Calibri"/>
      <family val="2"/>
      <scheme val="minor"/>
    </font>
    <font>
      <b/>
      <sz val="11"/>
      <name val="Calibri"/>
      <family val="2"/>
      <scheme val="minor"/>
    </font>
    <font>
      <b/>
      <sz val="16"/>
      <color theme="6" tint="-0.499984740745262"/>
      <name val="Calibri"/>
      <family val="2"/>
      <scheme val="minor"/>
    </font>
    <font>
      <sz val="11"/>
      <color theme="6" tint="-0.499984740745262"/>
      <name val="Calibri"/>
      <family val="2"/>
      <scheme val="minor"/>
    </font>
    <font>
      <b/>
      <sz val="10"/>
      <color theme="6" tint="-0.499984740745262"/>
      <name val="Calibri"/>
      <family val="2"/>
      <scheme val="minor"/>
    </font>
    <font>
      <sz val="9"/>
      <color indexed="81"/>
      <name val="Segoe UI"/>
      <family val="2"/>
    </font>
    <font>
      <b/>
      <i/>
      <sz val="11"/>
      <color theme="1"/>
      <name val="Calibri"/>
      <family val="2"/>
      <scheme val="minor"/>
    </font>
    <font>
      <i/>
      <sz val="12"/>
      <color theme="1"/>
      <name val="Calibri"/>
      <family val="2"/>
      <scheme val="minor"/>
    </font>
    <font>
      <sz val="8"/>
      <name val="Arial"/>
      <family val="2"/>
    </font>
    <font>
      <sz val="8"/>
      <color theme="0" tint="-0.499984740745262"/>
      <name val="Arial"/>
      <family val="2"/>
    </font>
    <font>
      <b/>
      <sz val="8"/>
      <name val="Arial"/>
      <family val="2"/>
    </font>
    <font>
      <b/>
      <sz val="8"/>
      <color theme="0" tint="-0.499984740745262"/>
      <name val="Arial"/>
      <family val="2"/>
    </font>
  </fonts>
  <fills count="16">
    <fill>
      <patternFill patternType="none"/>
    </fill>
    <fill>
      <patternFill patternType="gray125"/>
    </fill>
    <fill>
      <patternFill patternType="solid">
        <fgColor theme="2" tint="-0.24994659260841701"/>
        <bgColor indexed="64"/>
      </patternFill>
    </fill>
    <fill>
      <patternFill patternType="solid">
        <fgColor theme="6" tint="0.59996337778862885"/>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24994659260841701"/>
        <bgColor indexed="64"/>
      </patternFill>
    </fill>
    <fill>
      <patternFill patternType="solid">
        <fgColor theme="7" tint="-0.249977111117893"/>
        <bgColor indexed="64"/>
      </patternFill>
    </fill>
    <fill>
      <gradientFill degree="90">
        <stop position="0">
          <color theme="4" tint="0.40000610370189521"/>
        </stop>
        <stop position="0.5">
          <color theme="0"/>
        </stop>
        <stop position="1">
          <color theme="4" tint="0.40000610370189521"/>
        </stop>
      </gradientFill>
    </fill>
    <fill>
      <gradientFill degree="90">
        <stop position="0">
          <color theme="4" tint="0.59999389629810485"/>
        </stop>
        <stop position="0.5">
          <color theme="0"/>
        </stop>
        <stop position="1">
          <color theme="4" tint="0.59999389629810485"/>
        </stop>
      </gradientFill>
    </fill>
    <fill>
      <patternFill patternType="solid">
        <fgColor theme="3" tint="0.39997558519241921"/>
        <bgColor indexed="64"/>
      </patternFill>
    </fill>
    <fill>
      <patternFill patternType="solid">
        <fgColor theme="4" tint="-0.249977111117893"/>
        <bgColor indexed="64"/>
      </patternFill>
    </fill>
    <fill>
      <patternFill patternType="solid">
        <fgColor theme="0" tint="-0.249977111117893"/>
        <bgColor indexed="64"/>
      </patternFill>
    </fill>
    <fill>
      <gradientFill degree="270">
        <stop position="0">
          <color theme="0" tint="-0.25098422193060094"/>
        </stop>
        <stop position="1">
          <color theme="0"/>
        </stop>
      </gradientFill>
    </fill>
    <fill>
      <patternFill patternType="lightUp">
        <fgColor auto="1"/>
        <bgColor auto="1"/>
      </patternFill>
    </fill>
  </fills>
  <borders count="7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auto="1"/>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right/>
      <top style="thin">
        <color theme="0" tint="-0.499984740745262"/>
      </top>
      <bottom style="thin">
        <color theme="0"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theme="0" tint="-0.499984740745262"/>
      </bottom>
      <diagonal/>
    </border>
    <border>
      <left style="thick">
        <color theme="0"/>
      </left>
      <right/>
      <top style="thin">
        <color theme="0" tint="-0.499984740745262"/>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55"/>
      </right>
      <top style="thin">
        <color indexed="64"/>
      </top>
      <bottom style="thin">
        <color indexed="55"/>
      </bottom>
      <diagonal/>
    </border>
    <border>
      <left style="thin">
        <color indexed="55"/>
      </left>
      <right style="thin">
        <color indexed="55"/>
      </right>
      <top style="thin">
        <color indexed="64"/>
      </top>
      <bottom style="thin">
        <color indexed="55"/>
      </bottom>
      <diagonal/>
    </border>
    <border>
      <left style="thin">
        <color indexed="55"/>
      </left>
      <right style="thin">
        <color indexed="64"/>
      </right>
      <top style="thin">
        <color indexed="64"/>
      </top>
      <bottom style="thin">
        <color indexed="55"/>
      </bottom>
      <diagonal/>
    </border>
    <border>
      <left style="thin">
        <color indexed="64"/>
      </left>
      <right style="thin">
        <color indexed="64"/>
      </right>
      <top style="thin">
        <color indexed="64"/>
      </top>
      <bottom style="thin">
        <color indexed="55"/>
      </bottom>
      <diagonal/>
    </border>
    <border>
      <left style="thin">
        <color indexed="64"/>
      </left>
      <right style="thin">
        <color indexed="64"/>
      </right>
      <top style="thin">
        <color indexed="64"/>
      </top>
      <bottom style="thin">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64"/>
      </right>
      <top style="thin">
        <color indexed="55"/>
      </top>
      <bottom style="thin">
        <color indexed="55"/>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thin">
        <color indexed="64"/>
      </right>
      <top style="thin">
        <color indexed="55"/>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style="medium">
        <color indexed="64"/>
      </bottom>
      <diagonal/>
    </border>
    <border>
      <left/>
      <right/>
      <top style="thin">
        <color theme="1" tint="0.24994659260841701"/>
      </top>
      <bottom style="thin">
        <color theme="1" tint="0.24994659260841701"/>
      </bottom>
      <diagonal/>
    </border>
    <border>
      <left/>
      <right/>
      <top style="thin">
        <color auto="1"/>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indexed="64"/>
      </left>
      <right style="thin">
        <color indexed="64"/>
      </right>
      <top style="thin">
        <color indexed="55"/>
      </top>
      <bottom style="thin">
        <color indexed="55"/>
      </bottom>
      <diagonal/>
    </border>
    <border>
      <left style="thin">
        <color indexed="64"/>
      </left>
      <right style="thin">
        <color indexed="64"/>
      </right>
      <top style="thin">
        <color indexed="55"/>
      </top>
      <bottom style="thin">
        <color indexed="64"/>
      </bottom>
      <diagonal/>
    </border>
    <border>
      <left style="thin">
        <color indexed="64"/>
      </left>
      <right style="thin">
        <color indexed="55"/>
      </right>
      <top style="thin">
        <color indexed="64"/>
      </top>
      <bottom/>
      <diagonal/>
    </border>
    <border>
      <left style="thin">
        <color indexed="55"/>
      </left>
      <right style="thin">
        <color indexed="55"/>
      </right>
      <top style="thin">
        <color indexed="55"/>
      </top>
      <bottom/>
      <diagonal/>
    </border>
    <border>
      <left style="thin">
        <color indexed="55"/>
      </left>
      <right style="thin">
        <color indexed="64"/>
      </right>
      <top style="thin">
        <color indexed="55"/>
      </top>
      <bottom/>
      <diagonal/>
    </border>
    <border>
      <left/>
      <right/>
      <top style="thin">
        <color theme="1" tint="0.499984740745262"/>
      </top>
      <bottom style="thin">
        <color theme="1" tint="0.499984740745262"/>
      </bottom>
      <diagonal/>
    </border>
    <border>
      <left style="thin">
        <color auto="1"/>
      </left>
      <right style="thin">
        <color auto="1"/>
      </right>
      <top style="thin">
        <color auto="1"/>
      </top>
      <bottom style="thin">
        <color auto="1"/>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ck">
        <color theme="0"/>
      </right>
      <top style="thin">
        <color theme="0" tint="-0.499984740745262"/>
      </top>
      <bottom style="thin">
        <color theme="0" tint="-0.499984740745262"/>
      </bottom>
      <diagonal/>
    </border>
    <border>
      <left style="thick">
        <color theme="0"/>
      </left>
      <right/>
      <top style="thin">
        <color theme="0" tint="-0.499984740745262"/>
      </top>
      <bottom style="thin">
        <color theme="0" tint="-0.499984740745262"/>
      </bottom>
      <diagonal/>
    </border>
    <border>
      <left style="thick">
        <color theme="0"/>
      </left>
      <right style="thick">
        <color theme="0"/>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theme="0" tint="-0.499984740745262"/>
      </left>
      <right/>
      <top style="thin">
        <color theme="0" tint="-0.499984740745262"/>
      </top>
      <bottom/>
      <diagonal/>
    </border>
    <border>
      <left/>
      <right/>
      <top/>
      <bottom style="dotted">
        <color auto="1"/>
      </bottom>
      <diagonal/>
    </border>
  </borders>
  <cellStyleXfs count="13">
    <xf numFmtId="0" fontId="0" fillId="0" borderId="0"/>
    <xf numFmtId="165" fontId="1" fillId="0" borderId="0" applyFont="0" applyFill="0" applyBorder="0" applyAlignment="0" applyProtection="0"/>
    <xf numFmtId="9" fontId="1" fillId="0" borderId="0" applyFont="0" applyFill="0" applyBorder="0" applyAlignment="0" applyProtection="0"/>
    <xf numFmtId="0" fontId="2" fillId="0" borderId="0"/>
    <xf numFmtId="167"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0" borderId="0"/>
    <xf numFmtId="165" fontId="3" fillId="0" borderId="0" applyFont="0" applyFill="0" applyBorder="0" applyAlignment="0" applyProtection="0"/>
    <xf numFmtId="167" fontId="3" fillId="0" borderId="0" applyFont="0" applyFill="0" applyBorder="0" applyAlignment="0" applyProtection="0"/>
    <xf numFmtId="166" fontId="1" fillId="0" borderId="0" applyFont="0" applyFill="0" applyBorder="0" applyAlignment="0" applyProtection="0"/>
  </cellStyleXfs>
  <cellXfs count="329">
    <xf numFmtId="0" fontId="0" fillId="0" borderId="0" xfId="0"/>
    <xf numFmtId="0" fontId="0" fillId="0" borderId="0" xfId="0" applyAlignment="1">
      <alignment horizontal="center"/>
    </xf>
    <xf numFmtId="49" fontId="0" fillId="0" borderId="0" xfId="0" applyNumberFormat="1" applyAlignment="1">
      <alignment horizontal="center"/>
    </xf>
    <xf numFmtId="49" fontId="0" fillId="0" borderId="0" xfId="0" applyNumberFormat="1" applyAlignment="1">
      <alignment horizontal="center" vertical="center"/>
    </xf>
    <xf numFmtId="0" fontId="0" fillId="0" borderId="0" xfId="0" applyAlignment="1">
      <alignment vertical="center"/>
    </xf>
    <xf numFmtId="164" fontId="0" fillId="0" borderId="0" xfId="0" applyNumberFormat="1" applyAlignment="1">
      <alignment horizontal="center"/>
    </xf>
    <xf numFmtId="165" fontId="11" fillId="0" borderId="0" xfId="1" applyFont="1" applyAlignment="1">
      <alignment horizontal="right" vertical="center"/>
    </xf>
    <xf numFmtId="0" fontId="11" fillId="0" borderId="0" xfId="0" applyFont="1" applyAlignment="1">
      <alignment horizontal="right" vertical="center"/>
    </xf>
    <xf numFmtId="0" fontId="11" fillId="0" borderId="0" xfId="0" applyFont="1" applyBorder="1" applyAlignment="1">
      <alignment horizontal="right" vertical="center"/>
    </xf>
    <xf numFmtId="0" fontId="8" fillId="0" borderId="0" xfId="0" applyFont="1" applyAlignment="1">
      <alignment vertical="center"/>
    </xf>
    <xf numFmtId="164" fontId="0" fillId="0" borderId="0" xfId="0" applyNumberFormat="1" applyAlignment="1">
      <alignment horizontal="left"/>
    </xf>
    <xf numFmtId="0" fontId="0" fillId="0" borderId="0" xfId="0" applyAlignment="1" applyProtection="1">
      <alignment vertical="center"/>
      <protection locked="0"/>
    </xf>
    <xf numFmtId="49" fontId="0" fillId="0" borderId="0" xfId="0" applyNumberFormat="1" applyAlignment="1" applyProtection="1">
      <alignment horizontal="center" vertical="center"/>
      <protection locked="0"/>
    </xf>
    <xf numFmtId="171" fontId="0" fillId="0" borderId="0" xfId="0" applyNumberFormat="1" applyAlignment="1">
      <alignment horizontal="center"/>
    </xf>
    <xf numFmtId="0" fontId="0" fillId="0" borderId="0" xfId="0" applyNumberFormat="1" applyAlignment="1">
      <alignment horizontal="center"/>
    </xf>
    <xf numFmtId="165" fontId="0" fillId="0" borderId="0" xfId="1" applyFont="1"/>
    <xf numFmtId="165" fontId="13" fillId="0" borderId="0" xfId="10" applyFont="1" applyAlignment="1">
      <alignment vertical="center"/>
    </xf>
    <xf numFmtId="165" fontId="13" fillId="0" borderId="0" xfId="10" applyFont="1" applyAlignment="1">
      <alignment horizontal="center" vertical="center"/>
    </xf>
    <xf numFmtId="167" fontId="13" fillId="0" borderId="24" xfId="10" applyNumberFormat="1" applyFont="1" applyBorder="1" applyAlignment="1">
      <alignment vertical="center"/>
    </xf>
    <xf numFmtId="167" fontId="13" fillId="0" borderId="28" xfId="10" applyNumberFormat="1" applyFont="1" applyBorder="1" applyAlignment="1">
      <alignment vertical="center"/>
    </xf>
    <xf numFmtId="165" fontId="13" fillId="0" borderId="28" xfId="10" applyFont="1" applyBorder="1" applyAlignment="1">
      <alignment horizontal="center" vertical="center"/>
    </xf>
    <xf numFmtId="165" fontId="13" fillId="0" borderId="24" xfId="10" applyFont="1" applyBorder="1" applyAlignment="1">
      <alignment horizontal="center" vertical="center"/>
    </xf>
    <xf numFmtId="167" fontId="13" fillId="0" borderId="26" xfId="10" applyNumberFormat="1" applyFont="1" applyBorder="1" applyAlignment="1">
      <alignment vertical="center"/>
    </xf>
    <xf numFmtId="167" fontId="13" fillId="0" borderId="34" xfId="10" applyNumberFormat="1" applyFont="1" applyBorder="1" applyAlignment="1">
      <alignment vertical="center"/>
    </xf>
    <xf numFmtId="165" fontId="13" fillId="0" borderId="34" xfId="10" applyFont="1" applyBorder="1" applyAlignment="1">
      <alignment horizontal="center" vertical="center"/>
    </xf>
    <xf numFmtId="165" fontId="13" fillId="0" borderId="35" xfId="10" applyFont="1" applyBorder="1" applyAlignment="1">
      <alignment vertical="center"/>
    </xf>
    <xf numFmtId="0" fontId="14" fillId="0" borderId="0" xfId="9" applyFont="1" applyAlignment="1">
      <alignment vertical="center"/>
    </xf>
    <xf numFmtId="165" fontId="14" fillId="0" borderId="0" xfId="1" applyFont="1" applyAlignment="1">
      <alignment vertical="center"/>
    </xf>
    <xf numFmtId="0" fontId="14" fillId="0" borderId="0" xfId="9" applyFont="1" applyFill="1" applyBorder="1" applyAlignment="1">
      <alignment vertical="center"/>
    </xf>
    <xf numFmtId="0" fontId="15" fillId="5" borderId="1" xfId="9" applyFont="1" applyFill="1" applyBorder="1" applyAlignment="1">
      <alignment horizontal="center" vertical="center"/>
    </xf>
    <xf numFmtId="0" fontId="14" fillId="5" borderId="21" xfId="9" applyFont="1" applyFill="1" applyBorder="1" applyAlignment="1">
      <alignment vertical="center"/>
    </xf>
    <xf numFmtId="167" fontId="16" fillId="5" borderId="0" xfId="10" applyNumberFormat="1" applyFont="1" applyFill="1" applyBorder="1" applyAlignment="1">
      <alignment vertical="center" shrinkToFit="1"/>
    </xf>
    <xf numFmtId="0" fontId="14" fillId="5" borderId="22" xfId="9" applyFont="1" applyFill="1" applyBorder="1" applyAlignment="1">
      <alignment vertical="center"/>
    </xf>
    <xf numFmtId="0" fontId="14" fillId="0" borderId="23" xfId="9" applyFont="1" applyBorder="1" applyAlignment="1">
      <alignment horizontal="center" vertical="center"/>
    </xf>
    <xf numFmtId="165" fontId="14" fillId="0" borderId="24" xfId="10" applyFont="1" applyBorder="1" applyAlignment="1">
      <alignment horizontal="center" vertical="center"/>
    </xf>
    <xf numFmtId="164" fontId="14" fillId="5" borderId="21" xfId="9" applyNumberFormat="1" applyFont="1" applyFill="1" applyBorder="1" applyAlignment="1">
      <alignment vertical="center"/>
    </xf>
    <xf numFmtId="165" fontId="15" fillId="6" borderId="27" xfId="1" applyFont="1" applyFill="1" applyBorder="1" applyAlignment="1">
      <alignment horizontal="center" vertical="center"/>
    </xf>
    <xf numFmtId="0" fontId="15" fillId="6" borderId="17" xfId="9" applyFont="1" applyFill="1" applyBorder="1" applyAlignment="1">
      <alignment horizontal="center" vertical="center"/>
    </xf>
    <xf numFmtId="0" fontId="15" fillId="5" borderId="0" xfId="9" applyFont="1" applyFill="1" applyBorder="1" applyAlignment="1">
      <alignment horizontal="center" vertical="center"/>
    </xf>
    <xf numFmtId="0" fontId="15" fillId="6" borderId="27" xfId="9" applyFont="1" applyFill="1" applyBorder="1" applyAlignment="1">
      <alignment horizontal="center" vertical="center"/>
    </xf>
    <xf numFmtId="165" fontId="14" fillId="0" borderId="27" xfId="1" applyFont="1" applyBorder="1" applyAlignment="1">
      <alignment horizontal="left" vertical="center"/>
    </xf>
    <xf numFmtId="164" fontId="14" fillId="0" borderId="27" xfId="9" applyNumberFormat="1" applyFont="1" applyBorder="1" applyAlignment="1">
      <alignment vertical="center"/>
    </xf>
    <xf numFmtId="164" fontId="14" fillId="5" borderId="0" xfId="9" applyNumberFormat="1" applyFont="1" applyFill="1" applyBorder="1" applyAlignment="1">
      <alignment vertical="center"/>
    </xf>
    <xf numFmtId="165" fontId="14" fillId="0" borderId="27" xfId="1" applyFont="1" applyBorder="1" applyAlignment="1">
      <alignment vertical="center"/>
    </xf>
    <xf numFmtId="167" fontId="14" fillId="0" borderId="0" xfId="9" applyNumberFormat="1" applyFont="1" applyAlignment="1">
      <alignment vertical="center"/>
    </xf>
    <xf numFmtId="0" fontId="14" fillId="5" borderId="0" xfId="9" applyFont="1" applyFill="1" applyBorder="1" applyAlignment="1">
      <alignment vertical="center"/>
    </xf>
    <xf numFmtId="167" fontId="14" fillId="0" borderId="27" xfId="9" applyNumberFormat="1" applyFont="1" applyBorder="1" applyAlignment="1">
      <alignment vertical="center"/>
    </xf>
    <xf numFmtId="165" fontId="15" fillId="7" borderId="27" xfId="1" applyFont="1" applyFill="1" applyBorder="1" applyAlignment="1">
      <alignment horizontal="center" vertical="center"/>
    </xf>
    <xf numFmtId="164" fontId="15" fillId="7" borderId="27" xfId="9" applyNumberFormat="1" applyFont="1" applyFill="1" applyBorder="1" applyAlignment="1">
      <alignment vertical="center"/>
    </xf>
    <xf numFmtId="0" fontId="14" fillId="0" borderId="0" xfId="9" applyFont="1" applyAlignment="1">
      <alignment horizontal="center" vertical="center"/>
    </xf>
    <xf numFmtId="165" fontId="14" fillId="5" borderId="0" xfId="1" applyFont="1" applyFill="1" applyAlignment="1">
      <alignment vertical="center"/>
    </xf>
    <xf numFmtId="0" fontId="14" fillId="5" borderId="0" xfId="9" applyFont="1" applyFill="1" applyAlignment="1">
      <alignment vertical="center"/>
    </xf>
    <xf numFmtId="0" fontId="15" fillId="5" borderId="27" xfId="9" applyFont="1" applyFill="1" applyBorder="1" applyAlignment="1">
      <alignment horizontal="center" vertical="center"/>
    </xf>
    <xf numFmtId="164" fontId="15" fillId="0" borderId="27" xfId="9" applyNumberFormat="1" applyFont="1" applyBorder="1" applyAlignment="1">
      <alignment vertical="center"/>
    </xf>
    <xf numFmtId="164" fontId="14" fillId="0" borderId="27" xfId="1" applyNumberFormat="1" applyFont="1" applyBorder="1" applyAlignment="1">
      <alignment vertical="center"/>
    </xf>
    <xf numFmtId="165" fontId="14" fillId="0" borderId="12" xfId="1" applyFont="1" applyBorder="1" applyAlignment="1">
      <alignment vertical="center"/>
    </xf>
    <xf numFmtId="165" fontId="15" fillId="0" borderId="27" xfId="1" applyFont="1" applyBorder="1" applyAlignment="1">
      <alignment horizontal="left" vertical="center"/>
    </xf>
    <xf numFmtId="165" fontId="15" fillId="0" borderId="12" xfId="1" applyFont="1" applyBorder="1" applyAlignment="1">
      <alignment vertical="center"/>
    </xf>
    <xf numFmtId="167" fontId="15" fillId="0" borderId="27" xfId="9" applyNumberFormat="1" applyFont="1" applyBorder="1" applyAlignment="1">
      <alignment vertical="center"/>
    </xf>
    <xf numFmtId="0" fontId="14" fillId="0" borderId="33" xfId="9" applyFont="1" applyBorder="1" applyAlignment="1">
      <alignment horizontal="right" vertical="center"/>
    </xf>
    <xf numFmtId="167" fontId="14" fillId="0" borderId="0" xfId="10" applyNumberFormat="1" applyFont="1" applyAlignment="1">
      <alignment vertical="center" shrinkToFit="1"/>
    </xf>
    <xf numFmtId="165" fontId="15" fillId="7" borderId="30" xfId="1" applyFont="1" applyFill="1" applyBorder="1" applyAlignment="1">
      <alignment vertical="center"/>
    </xf>
    <xf numFmtId="167" fontId="15" fillId="7" borderId="27" xfId="9" applyNumberFormat="1" applyFont="1" applyFill="1" applyBorder="1" applyAlignment="1">
      <alignment vertical="center"/>
    </xf>
    <xf numFmtId="0" fontId="14" fillId="5" borderId="36" xfId="9" applyFont="1" applyFill="1" applyBorder="1" applyAlignment="1">
      <alignment vertical="center"/>
    </xf>
    <xf numFmtId="165" fontId="14" fillId="5" borderId="37" xfId="1" applyFont="1" applyFill="1" applyBorder="1" applyAlignment="1">
      <alignment vertical="center"/>
    </xf>
    <xf numFmtId="0" fontId="14" fillId="5" borderId="37" xfId="9" applyFont="1" applyFill="1" applyBorder="1" applyAlignment="1">
      <alignment vertical="center"/>
    </xf>
    <xf numFmtId="0" fontId="14" fillId="5" borderId="38" xfId="9" applyFont="1" applyFill="1" applyBorder="1" applyAlignment="1">
      <alignment vertical="center"/>
    </xf>
    <xf numFmtId="0" fontId="18" fillId="0" borderId="0" xfId="9" applyFont="1" applyFill="1" applyAlignment="1" applyProtection="1">
      <alignment vertical="center" shrinkToFit="1"/>
    </xf>
    <xf numFmtId="0" fontId="13" fillId="0" borderId="0" xfId="0" applyFont="1" applyAlignment="1">
      <alignment vertical="center"/>
    </xf>
    <xf numFmtId="165" fontId="20" fillId="0" borderId="0" xfId="1" applyFont="1" applyFill="1" applyAlignment="1">
      <alignment vertical="center"/>
    </xf>
    <xf numFmtId="0" fontId="0" fillId="0" borderId="0" xfId="0" applyAlignment="1" applyProtection="1">
      <alignment horizontal="center"/>
      <protection locked="0"/>
    </xf>
    <xf numFmtId="165" fontId="0" fillId="0" borderId="0" xfId="1" applyFont="1" applyProtection="1">
      <protection locked="0"/>
    </xf>
    <xf numFmtId="171" fontId="0" fillId="0" borderId="0" xfId="0" applyNumberFormat="1" applyAlignment="1" applyProtection="1">
      <alignment horizontal="center"/>
      <protection locked="0"/>
    </xf>
    <xf numFmtId="49" fontId="0" fillId="0" borderId="0" xfId="0" applyNumberFormat="1" applyAlignment="1" applyProtection="1">
      <alignment horizontal="center"/>
      <protection locked="0"/>
    </xf>
    <xf numFmtId="164" fontId="0" fillId="0" borderId="0" xfId="0" applyNumberFormat="1" applyAlignment="1" applyProtection="1">
      <alignment horizontal="center"/>
      <protection locked="0"/>
    </xf>
    <xf numFmtId="164" fontId="0" fillId="0" borderId="0" xfId="0" applyNumberFormat="1" applyAlignment="1" applyProtection="1">
      <alignment horizontal="left"/>
      <protection locked="0"/>
    </xf>
    <xf numFmtId="0" fontId="0" fillId="0" borderId="0" xfId="0" applyProtection="1">
      <protection locked="0"/>
    </xf>
    <xf numFmtId="167" fontId="13" fillId="9" borderId="29" xfId="10" applyNumberFormat="1" applyFont="1" applyFill="1" applyBorder="1" applyAlignment="1" applyProtection="1">
      <alignment vertical="center"/>
      <protection locked="0"/>
    </xf>
    <xf numFmtId="167" fontId="13" fillId="9" borderId="24" xfId="10" applyNumberFormat="1" applyFont="1" applyFill="1" applyBorder="1" applyAlignment="1" applyProtection="1">
      <alignment vertical="center"/>
      <protection locked="0"/>
    </xf>
    <xf numFmtId="168" fontId="13" fillId="9" borderId="29" xfId="10" applyNumberFormat="1" applyFont="1" applyFill="1" applyBorder="1" applyAlignment="1" applyProtection="1">
      <alignment vertical="center"/>
      <protection locked="0"/>
    </xf>
    <xf numFmtId="168" fontId="13" fillId="9" borderId="35" xfId="10" applyNumberFormat="1" applyFont="1" applyFill="1" applyBorder="1" applyAlignment="1" applyProtection="1">
      <alignment vertical="center"/>
      <protection locked="0"/>
    </xf>
    <xf numFmtId="167" fontId="14" fillId="9" borderId="27" xfId="9" applyNumberFormat="1" applyFont="1" applyFill="1" applyBorder="1" applyAlignment="1" applyProtection="1">
      <alignment vertical="center"/>
      <protection locked="0"/>
    </xf>
    <xf numFmtId="0" fontId="0" fillId="0" borderId="0" xfId="0" applyNumberFormat="1" applyAlignment="1" applyProtection="1">
      <alignment horizontal="center"/>
      <protection locked="0"/>
    </xf>
    <xf numFmtId="1" fontId="0" fillId="0" borderId="0" xfId="0" applyNumberFormat="1" applyAlignment="1" applyProtection="1">
      <alignment horizontal="center"/>
    </xf>
    <xf numFmtId="0" fontId="0" fillId="0" borderId="0" xfId="0" applyProtection="1"/>
    <xf numFmtId="1" fontId="12" fillId="8" borderId="1" xfId="0" applyNumberFormat="1" applyFont="1" applyFill="1" applyBorder="1" applyAlignment="1" applyProtection="1">
      <alignment horizontal="center" vertical="top" wrapText="1"/>
    </xf>
    <xf numFmtId="14" fontId="12" fillId="8" borderId="1" xfId="0" applyNumberFormat="1" applyFont="1" applyFill="1" applyBorder="1" applyAlignment="1" applyProtection="1">
      <alignment horizontal="center" vertical="top" wrapText="1"/>
    </xf>
    <xf numFmtId="49" fontId="12" fillId="8" borderId="1" xfId="0" applyNumberFormat="1" applyFont="1" applyFill="1" applyBorder="1" applyAlignment="1" applyProtection="1">
      <alignment horizontal="center" vertical="top" wrapText="1"/>
    </xf>
    <xf numFmtId="169" fontId="12" fillId="8" borderId="1" xfId="2" applyNumberFormat="1" applyFont="1" applyFill="1" applyBorder="1" applyAlignment="1" applyProtection="1">
      <alignment horizontal="center" vertical="top" wrapText="1"/>
    </xf>
    <xf numFmtId="0" fontId="12" fillId="8" borderId="1" xfId="0" applyFont="1" applyFill="1" applyBorder="1" applyAlignment="1" applyProtection="1">
      <alignment horizontal="center" vertical="top" wrapText="1"/>
    </xf>
    <xf numFmtId="164" fontId="12" fillId="8" borderId="1" xfId="0" applyNumberFormat="1" applyFont="1" applyFill="1" applyBorder="1" applyAlignment="1" applyProtection="1">
      <alignment horizontal="center" vertical="top" wrapText="1"/>
    </xf>
    <xf numFmtId="0" fontId="0" fillId="0" borderId="0" xfId="0" applyAlignment="1" applyProtection="1">
      <alignment vertical="top" wrapText="1"/>
    </xf>
    <xf numFmtId="0" fontId="0" fillId="0" borderId="0" xfId="0" applyFill="1" applyBorder="1"/>
    <xf numFmtId="165" fontId="12" fillId="8" borderId="39" xfId="1" applyNumberFormat="1" applyFont="1" applyFill="1" applyBorder="1" applyAlignment="1">
      <alignment horizontal="center" vertical="center"/>
    </xf>
    <xf numFmtId="165" fontId="0" fillId="0" borderId="0" xfId="1" applyNumberFormat="1" applyFont="1" applyFill="1" applyBorder="1"/>
    <xf numFmtId="165" fontId="12" fillId="8" borderId="40" xfId="1" applyNumberFormat="1" applyFont="1" applyFill="1" applyBorder="1" applyAlignment="1">
      <alignment horizontal="center" vertical="top" wrapText="1"/>
    </xf>
    <xf numFmtId="0" fontId="12" fillId="8" borderId="40" xfId="0" applyNumberFormat="1" applyFont="1" applyFill="1" applyBorder="1" applyAlignment="1">
      <alignment horizontal="center" vertical="top" wrapText="1"/>
    </xf>
    <xf numFmtId="49" fontId="12" fillId="8" borderId="40" xfId="0" applyNumberFormat="1" applyFont="1" applyFill="1" applyBorder="1" applyAlignment="1">
      <alignment horizontal="center" vertical="top" wrapText="1"/>
    </xf>
    <xf numFmtId="164" fontId="12" fillId="8" borderId="40" xfId="0" applyNumberFormat="1" applyFont="1" applyFill="1" applyBorder="1" applyAlignment="1">
      <alignment horizontal="center" vertical="top" wrapText="1"/>
    </xf>
    <xf numFmtId="164" fontId="12" fillId="8" borderId="39" xfId="0" applyNumberFormat="1" applyFont="1" applyFill="1" applyBorder="1" applyAlignment="1">
      <alignment horizontal="center" vertical="top" wrapText="1"/>
    </xf>
    <xf numFmtId="165" fontId="12" fillId="8" borderId="27" xfId="1" applyNumberFormat="1" applyFont="1" applyFill="1" applyBorder="1" applyAlignment="1">
      <alignment horizontal="center" vertical="center"/>
    </xf>
    <xf numFmtId="0" fontId="12" fillId="8" borderId="27" xfId="0" applyFont="1" applyFill="1" applyBorder="1" applyAlignment="1">
      <alignment horizontal="center" vertical="center"/>
    </xf>
    <xf numFmtId="174" fontId="13" fillId="9" borderId="25" xfId="10" applyNumberFormat="1" applyFont="1" applyFill="1" applyBorder="1" applyAlignment="1" applyProtection="1">
      <alignment vertical="center"/>
      <protection locked="0"/>
    </xf>
    <xf numFmtId="9" fontId="13" fillId="10" borderId="26" xfId="7" applyFont="1" applyFill="1" applyBorder="1" applyAlignment="1" applyProtection="1">
      <alignment horizontal="center" vertical="center"/>
      <protection locked="0"/>
    </xf>
    <xf numFmtId="9" fontId="13" fillId="10" borderId="29" xfId="7" applyFont="1" applyFill="1" applyBorder="1" applyAlignment="1" applyProtection="1">
      <alignment horizontal="center" vertical="center"/>
      <protection locked="0"/>
    </xf>
    <xf numFmtId="9" fontId="14" fillId="10" borderId="26" xfId="2" applyFont="1" applyFill="1" applyBorder="1" applyAlignment="1" applyProtection="1">
      <alignment horizontal="center" vertical="center"/>
      <protection locked="0"/>
    </xf>
    <xf numFmtId="10" fontId="13" fillId="10" borderId="29" xfId="10" applyNumberFormat="1" applyFont="1" applyFill="1" applyBorder="1" applyAlignment="1" applyProtection="1">
      <alignment horizontal="center" vertical="center"/>
      <protection locked="0"/>
    </xf>
    <xf numFmtId="10" fontId="13" fillId="10" borderId="35" xfId="10" applyNumberFormat="1" applyFont="1" applyFill="1" applyBorder="1" applyAlignment="1" applyProtection="1">
      <alignment horizontal="center" vertical="center"/>
      <protection locked="0"/>
    </xf>
    <xf numFmtId="0" fontId="0" fillId="0" borderId="11" xfId="0" applyBorder="1" applyAlignment="1">
      <alignment vertical="center"/>
    </xf>
    <xf numFmtId="0" fontId="23" fillId="0" borderId="0" xfId="0" applyFont="1" applyAlignment="1"/>
    <xf numFmtId="0" fontId="14" fillId="0" borderId="0" xfId="9" applyFont="1" applyBorder="1" applyAlignment="1">
      <alignment vertical="center"/>
    </xf>
    <xf numFmtId="164" fontId="14" fillId="0" borderId="0" xfId="9" applyNumberFormat="1" applyFont="1" applyBorder="1" applyAlignment="1">
      <alignment vertical="center"/>
    </xf>
    <xf numFmtId="167" fontId="14" fillId="0" borderId="0" xfId="9" applyNumberFormat="1" applyFont="1" applyBorder="1" applyAlignment="1">
      <alignment vertical="center"/>
    </xf>
    <xf numFmtId="0" fontId="14" fillId="0" borderId="44" xfId="9" applyFont="1" applyBorder="1" applyAlignment="1">
      <alignment vertical="center"/>
    </xf>
    <xf numFmtId="0" fontId="14" fillId="0" borderId="45" xfId="9" applyFont="1" applyBorder="1" applyAlignment="1">
      <alignment vertical="center"/>
    </xf>
    <xf numFmtId="0" fontId="14" fillId="0" borderId="46" xfId="9" applyFont="1" applyBorder="1" applyAlignment="1">
      <alignment vertical="center"/>
    </xf>
    <xf numFmtId="0" fontId="14" fillId="0" borderId="47" xfId="9" applyFont="1" applyBorder="1" applyAlignment="1">
      <alignment vertical="center"/>
    </xf>
    <xf numFmtId="0" fontId="14" fillId="0" borderId="48" xfId="9" applyFont="1" applyBorder="1" applyAlignment="1">
      <alignment vertical="center"/>
    </xf>
    <xf numFmtId="0" fontId="14" fillId="0" borderId="49" xfId="9" applyFont="1" applyBorder="1" applyAlignment="1">
      <alignment vertical="center"/>
    </xf>
    <xf numFmtId="0" fontId="14" fillId="0" borderId="50" xfId="9" applyFont="1" applyBorder="1" applyAlignment="1">
      <alignment vertical="center"/>
    </xf>
    <xf numFmtId="0" fontId="14" fillId="0" borderId="51" xfId="9" applyFont="1" applyBorder="1" applyAlignment="1">
      <alignment vertical="center"/>
    </xf>
    <xf numFmtId="0" fontId="15" fillId="13" borderId="41" xfId="9" applyFont="1" applyFill="1" applyBorder="1" applyAlignment="1">
      <alignment vertical="center"/>
    </xf>
    <xf numFmtId="167" fontId="15" fillId="13" borderId="41" xfId="9" applyNumberFormat="1" applyFont="1" applyFill="1" applyBorder="1" applyAlignment="1">
      <alignment vertical="center"/>
    </xf>
    <xf numFmtId="168" fontId="13" fillId="9" borderId="26" xfId="10" applyNumberFormat="1" applyFont="1" applyFill="1" applyBorder="1" applyAlignment="1" applyProtection="1">
      <alignment vertical="center"/>
      <protection locked="0"/>
    </xf>
    <xf numFmtId="168" fontId="13" fillId="9" borderId="52" xfId="10" applyNumberFormat="1" applyFont="1" applyFill="1" applyBorder="1" applyAlignment="1" applyProtection="1">
      <alignment vertical="center"/>
      <protection locked="0"/>
    </xf>
    <xf numFmtId="168" fontId="13" fillId="9" borderId="53" xfId="10" applyNumberFormat="1" applyFont="1" applyFill="1" applyBorder="1" applyAlignment="1" applyProtection="1">
      <alignment vertical="center"/>
      <protection locked="0"/>
    </xf>
    <xf numFmtId="0" fontId="14" fillId="0" borderId="54" xfId="9" applyFont="1" applyBorder="1" applyAlignment="1">
      <alignment horizontal="center" vertical="center"/>
    </xf>
    <xf numFmtId="167" fontId="13" fillId="0" borderId="55" xfId="10" applyNumberFormat="1" applyFont="1" applyBorder="1" applyAlignment="1">
      <alignment vertical="center"/>
    </xf>
    <xf numFmtId="165" fontId="13" fillId="0" borderId="55" xfId="10" applyFont="1" applyBorder="1" applyAlignment="1">
      <alignment horizontal="center" vertical="center"/>
    </xf>
    <xf numFmtId="167" fontId="13" fillId="9" borderId="56" xfId="10" applyNumberFormat="1" applyFont="1" applyFill="1" applyBorder="1" applyAlignment="1" applyProtection="1">
      <alignment vertical="center"/>
      <protection locked="0"/>
    </xf>
    <xf numFmtId="9" fontId="13" fillId="10" borderId="56" xfId="7" applyFont="1" applyFill="1" applyBorder="1" applyAlignment="1" applyProtection="1">
      <alignment horizontal="center" vertical="center"/>
      <protection locked="0"/>
    </xf>
    <xf numFmtId="0" fontId="15" fillId="0" borderId="57" xfId="9" applyFont="1" applyBorder="1" applyAlignment="1">
      <alignment vertical="center"/>
    </xf>
    <xf numFmtId="167" fontId="15" fillId="0" borderId="57" xfId="9" applyNumberFormat="1" applyFont="1" applyBorder="1" applyAlignment="1">
      <alignment vertical="center"/>
    </xf>
    <xf numFmtId="0" fontId="14" fillId="0" borderId="0" xfId="9" applyFont="1" applyAlignment="1">
      <alignment vertical="top"/>
    </xf>
    <xf numFmtId="9" fontId="0" fillId="0" borderId="0" xfId="2" applyFont="1" applyAlignment="1">
      <alignment horizontal="center"/>
    </xf>
    <xf numFmtId="9" fontId="12" fillId="8" borderId="27" xfId="2" applyFont="1" applyFill="1" applyBorder="1" applyAlignment="1">
      <alignment horizontal="center" vertical="center" wrapText="1"/>
    </xf>
    <xf numFmtId="9" fontId="0" fillId="0" borderId="0" xfId="2" applyFont="1" applyAlignment="1" applyProtection="1">
      <alignment horizontal="center"/>
      <protection locked="0"/>
    </xf>
    <xf numFmtId="164" fontId="14" fillId="0" borderId="39" xfId="1" applyNumberFormat="1" applyFont="1" applyBorder="1" applyAlignment="1">
      <alignment vertical="center"/>
    </xf>
    <xf numFmtId="10" fontId="14" fillId="0" borderId="39" xfId="2" applyNumberFormat="1" applyFont="1" applyBorder="1" applyAlignment="1">
      <alignment horizontal="right" vertical="center"/>
    </xf>
    <xf numFmtId="165" fontId="14" fillId="0" borderId="60" xfId="1" applyFont="1" applyBorder="1" applyAlignment="1">
      <alignment vertical="center"/>
    </xf>
    <xf numFmtId="164" fontId="14" fillId="0" borderId="60" xfId="9" applyNumberFormat="1" applyFont="1" applyBorder="1" applyAlignment="1">
      <alignment vertical="center"/>
    </xf>
    <xf numFmtId="164" fontId="14" fillId="0" borderId="60" xfId="1" applyNumberFormat="1" applyFont="1" applyBorder="1" applyAlignment="1">
      <alignment vertical="center"/>
    </xf>
    <xf numFmtId="10" fontId="14" fillId="0" borderId="60" xfId="2" applyNumberFormat="1" applyFont="1" applyBorder="1" applyAlignment="1">
      <alignment horizontal="right" vertical="center"/>
    </xf>
    <xf numFmtId="164" fontId="14" fillId="0" borderId="59" xfId="1" applyNumberFormat="1" applyFont="1" applyBorder="1" applyAlignment="1">
      <alignment vertical="center"/>
    </xf>
    <xf numFmtId="164" fontId="14" fillId="0" borderId="59" xfId="9" applyNumberFormat="1" applyFont="1" applyBorder="1" applyAlignment="1">
      <alignment vertical="center"/>
    </xf>
    <xf numFmtId="0" fontId="14" fillId="0" borderId="57" xfId="9" applyFont="1" applyBorder="1" applyAlignment="1">
      <alignment vertical="center"/>
    </xf>
    <xf numFmtId="10" fontId="14" fillId="0" borderId="57" xfId="2" applyNumberFormat="1" applyFont="1" applyBorder="1" applyAlignment="1">
      <alignment vertical="center"/>
    </xf>
    <xf numFmtId="10" fontId="0" fillId="0" borderId="0" xfId="2" applyNumberFormat="1" applyFont="1" applyAlignment="1">
      <alignment horizontal="center"/>
    </xf>
    <xf numFmtId="10" fontId="12" fillId="8" borderId="27" xfId="2" applyNumberFormat="1" applyFont="1" applyFill="1" applyBorder="1" applyAlignment="1">
      <alignment horizontal="center" vertical="center" wrapText="1"/>
    </xf>
    <xf numFmtId="10" fontId="0" fillId="0" borderId="0" xfId="2" applyNumberFormat="1" applyFont="1" applyAlignment="1" applyProtection="1">
      <alignment horizontal="center"/>
      <protection locked="0"/>
    </xf>
    <xf numFmtId="164" fontId="12" fillId="8" borderId="58" xfId="0" applyNumberFormat="1" applyFont="1" applyFill="1" applyBorder="1" applyAlignment="1" applyProtection="1">
      <alignment horizontal="center" vertical="top" wrapText="1"/>
    </xf>
    <xf numFmtId="165" fontId="0" fillId="0" borderId="3" xfId="1" applyNumberFormat="1" applyFont="1" applyBorder="1"/>
    <xf numFmtId="0" fontId="0" fillId="0" borderId="3" xfId="0" applyFont="1" applyBorder="1" applyAlignment="1">
      <alignment horizontal="center"/>
    </xf>
    <xf numFmtId="165" fontId="0" fillId="0" borderId="3" xfId="1" applyNumberFormat="1" applyFont="1" applyFill="1" applyBorder="1"/>
    <xf numFmtId="171" fontId="0" fillId="0" borderId="3" xfId="0" applyNumberFormat="1" applyFont="1" applyFill="1" applyBorder="1" applyAlignment="1">
      <alignment horizontal="center"/>
    </xf>
    <xf numFmtId="49" fontId="0" fillId="0" borderId="3" xfId="0" applyNumberFormat="1" applyFont="1" applyFill="1" applyBorder="1" applyAlignment="1">
      <alignment horizontal="center"/>
    </xf>
    <xf numFmtId="0" fontId="0" fillId="0" borderId="3" xfId="0" applyNumberFormat="1" applyFont="1" applyFill="1" applyBorder="1" applyAlignment="1">
      <alignment horizontal="center"/>
    </xf>
    <xf numFmtId="164" fontId="0" fillId="0" borderId="3" xfId="0" applyNumberFormat="1" applyFont="1" applyFill="1" applyBorder="1" applyAlignment="1">
      <alignment horizontal="center"/>
    </xf>
    <xf numFmtId="164" fontId="0" fillId="0" borderId="3" xfId="0" applyNumberFormat="1" applyFont="1" applyFill="1" applyBorder="1" applyAlignment="1">
      <alignment horizontal="left"/>
    </xf>
    <xf numFmtId="1" fontId="0" fillId="0" borderId="0" xfId="0" applyNumberFormat="1" applyAlignment="1" applyProtection="1">
      <alignment horizontal="center"/>
      <protection locked="0"/>
    </xf>
    <xf numFmtId="14" fontId="0" fillId="0" borderId="0" xfId="0" applyNumberFormat="1" applyAlignment="1" applyProtection="1">
      <alignment horizontal="center"/>
      <protection locked="0"/>
    </xf>
    <xf numFmtId="169" fontId="0" fillId="0" borderId="0" xfId="2" applyNumberFormat="1" applyFont="1" applyAlignment="1" applyProtection="1">
      <alignment horizontal="center"/>
      <protection locked="0"/>
    </xf>
    <xf numFmtId="49" fontId="0" fillId="0" borderId="0" xfId="0" applyNumberFormat="1" applyAlignment="1" applyProtection="1">
      <alignment horizontal="left"/>
      <protection locked="0"/>
    </xf>
    <xf numFmtId="0" fontId="5" fillId="0" borderId="11" xfId="0" applyFont="1" applyBorder="1" applyAlignment="1">
      <alignment vertical="center"/>
    </xf>
    <xf numFmtId="0" fontId="0" fillId="0" borderId="0" xfId="0" pivotButton="1"/>
    <xf numFmtId="175" fontId="0" fillId="0" borderId="0" xfId="0" applyNumberFormat="1"/>
    <xf numFmtId="0" fontId="0" fillId="0" borderId="0" xfId="0" applyAlignment="1">
      <alignment horizontal="left"/>
    </xf>
    <xf numFmtId="1" fontId="0" fillId="0" borderId="0" xfId="0" applyNumberFormat="1"/>
    <xf numFmtId="165" fontId="14" fillId="0" borderId="66" xfId="1" applyFont="1" applyBorder="1" applyAlignment="1">
      <alignment vertical="center"/>
    </xf>
    <xf numFmtId="164" fontId="14" fillId="0" borderId="66" xfId="9" applyNumberFormat="1" applyFont="1" applyBorder="1" applyAlignment="1">
      <alignment vertical="center"/>
    </xf>
    <xf numFmtId="165" fontId="14" fillId="0" borderId="67" xfId="1" applyFont="1" applyBorder="1" applyAlignment="1">
      <alignment vertical="center"/>
    </xf>
    <xf numFmtId="10" fontId="14" fillId="0" borderId="60" xfId="5" applyNumberFormat="1" applyFont="1" applyBorder="1" applyAlignment="1">
      <alignment horizontal="right" vertical="center"/>
    </xf>
    <xf numFmtId="165" fontId="15" fillId="0" borderId="59" xfId="1" applyFont="1" applyBorder="1" applyAlignment="1">
      <alignment vertical="center"/>
    </xf>
    <xf numFmtId="164" fontId="15" fillId="0" borderId="59" xfId="9" applyNumberFormat="1" applyFont="1" applyBorder="1" applyAlignment="1">
      <alignment vertical="center"/>
    </xf>
    <xf numFmtId="0" fontId="0" fillId="0" borderId="0" xfId="0" pivotButton="1" applyAlignment="1">
      <alignment horizontal="center"/>
    </xf>
    <xf numFmtId="0" fontId="31" fillId="0" borderId="11" xfId="0" applyFont="1" applyBorder="1" applyAlignment="1">
      <alignment vertical="center"/>
    </xf>
    <xf numFmtId="0" fontId="32" fillId="0" borderId="7" xfId="9" applyFont="1" applyBorder="1" applyAlignment="1" applyProtection="1">
      <alignment vertical="center" shrinkToFit="1"/>
    </xf>
    <xf numFmtId="0" fontId="32" fillId="0" borderId="0" xfId="9" applyFont="1" applyAlignment="1" applyProtection="1">
      <alignment vertical="center" shrinkToFit="1"/>
    </xf>
    <xf numFmtId="0" fontId="32" fillId="0" borderId="0" xfId="9" applyFont="1" applyBorder="1" applyAlignment="1" applyProtection="1">
      <alignment vertical="center" shrinkToFit="1"/>
    </xf>
    <xf numFmtId="0" fontId="32" fillId="0" borderId="0" xfId="9" applyFont="1" applyAlignment="1" applyProtection="1">
      <alignment horizontal="left" vertical="center" shrinkToFit="1"/>
    </xf>
    <xf numFmtId="0" fontId="32" fillId="0" borderId="0" xfId="9" applyFont="1" applyFill="1" applyAlignment="1" applyProtection="1">
      <alignment vertical="center" shrinkToFit="1"/>
    </xf>
    <xf numFmtId="0" fontId="32" fillId="0" borderId="9" xfId="9" applyFont="1" applyBorder="1" applyAlignment="1" applyProtection="1">
      <alignment vertical="center" shrinkToFit="1"/>
    </xf>
    <xf numFmtId="0" fontId="32" fillId="0" borderId="9" xfId="9" applyFont="1" applyBorder="1" applyAlignment="1" applyProtection="1">
      <alignment horizontal="right" vertical="center" shrinkToFit="1"/>
    </xf>
    <xf numFmtId="0" fontId="32" fillId="0" borderId="4" xfId="9" applyFont="1" applyBorder="1" applyAlignment="1" applyProtection="1">
      <alignment horizontal="right" vertical="center" shrinkToFit="1"/>
    </xf>
    <xf numFmtId="0" fontId="32" fillId="0" borderId="4" xfId="9" applyFont="1" applyBorder="1" applyAlignment="1" applyProtection="1">
      <alignment vertical="center" shrinkToFit="1"/>
    </xf>
    <xf numFmtId="0" fontId="32" fillId="0" borderId="5" xfId="9" applyFont="1" applyBorder="1" applyAlignment="1" applyProtection="1">
      <alignment vertical="center" shrinkToFit="1"/>
    </xf>
    <xf numFmtId="0" fontId="32" fillId="0" borderId="10" xfId="9" applyFont="1" applyBorder="1" applyAlignment="1" applyProtection="1">
      <alignment vertical="center" shrinkToFit="1"/>
    </xf>
    <xf numFmtId="0" fontId="32" fillId="0" borderId="0" xfId="9" applyFont="1" applyAlignment="1" applyProtection="1">
      <alignment horizontal="right" vertical="center" shrinkToFit="1"/>
    </xf>
    <xf numFmtId="173" fontId="32" fillId="0" borderId="0" xfId="9" applyNumberFormat="1" applyFont="1" applyAlignment="1" applyProtection="1">
      <alignment vertical="center" shrinkToFit="1"/>
    </xf>
    <xf numFmtId="0" fontId="32" fillId="0" borderId="7" xfId="9" applyFont="1" applyFill="1" applyBorder="1" applyAlignment="1" applyProtection="1">
      <alignment vertical="center" shrinkToFit="1"/>
    </xf>
    <xf numFmtId="0" fontId="32" fillId="0" borderId="0" xfId="9" applyFont="1" applyFill="1" applyBorder="1" applyAlignment="1" applyProtection="1">
      <alignment vertical="center" shrinkToFit="1"/>
    </xf>
    <xf numFmtId="0" fontId="32" fillId="0" borderId="5" xfId="9" applyFont="1" applyFill="1" applyBorder="1" applyAlignment="1" applyProtection="1">
      <alignment vertical="center" shrinkToFit="1"/>
    </xf>
    <xf numFmtId="0" fontId="32" fillId="0" borderId="2" xfId="9" applyFont="1" applyBorder="1" applyAlignment="1" applyProtection="1">
      <alignment vertical="center" shrinkToFit="1"/>
    </xf>
    <xf numFmtId="0" fontId="32" fillId="0" borderId="0" xfId="9" applyFont="1" applyBorder="1" applyAlignment="1" applyProtection="1">
      <alignment horizontal="right" vertical="center" shrinkToFit="1"/>
    </xf>
    <xf numFmtId="0" fontId="32" fillId="0" borderId="2" xfId="9" applyFont="1" applyBorder="1" applyAlignment="1" applyProtection="1">
      <alignment horizontal="right" vertical="center" shrinkToFit="1"/>
    </xf>
    <xf numFmtId="0" fontId="33" fillId="0" borderId="0" xfId="9" applyFont="1" applyBorder="1" applyAlignment="1" applyProtection="1">
      <alignment vertical="center" shrinkToFit="1"/>
    </xf>
    <xf numFmtId="165" fontId="32" fillId="0" borderId="9" xfId="1" applyFont="1" applyBorder="1" applyAlignment="1" applyProtection="1">
      <alignment vertical="center" shrinkToFit="1"/>
    </xf>
    <xf numFmtId="165" fontId="32" fillId="0" borderId="10" xfId="1" applyFont="1" applyBorder="1" applyAlignment="1" applyProtection="1">
      <alignment vertical="center" shrinkToFit="1"/>
    </xf>
    <xf numFmtId="0" fontId="32" fillId="0" borderId="9" xfId="9" applyFont="1" applyFill="1" applyBorder="1" applyAlignment="1" applyProtection="1">
      <alignment vertical="center" shrinkToFit="1"/>
    </xf>
    <xf numFmtId="172" fontId="32" fillId="0" borderId="9" xfId="9" applyNumberFormat="1" applyFont="1" applyFill="1" applyBorder="1" applyAlignment="1" applyProtection="1">
      <alignment vertical="center" shrinkToFit="1"/>
    </xf>
    <xf numFmtId="0" fontId="32" fillId="0" borderId="68" xfId="9" applyFont="1" applyBorder="1" applyAlignment="1" applyProtection="1">
      <alignment vertical="center" shrinkToFit="1"/>
    </xf>
    <xf numFmtId="165" fontId="32" fillId="0" borderId="8" xfId="1" applyFont="1" applyBorder="1" applyAlignment="1" applyProtection="1">
      <alignment vertical="center" shrinkToFit="1"/>
    </xf>
    <xf numFmtId="0" fontId="32" fillId="0" borderId="0" xfId="9" applyFont="1" applyBorder="1" applyAlignment="1" applyProtection="1">
      <alignment horizontal="center" vertical="center" shrinkToFit="1"/>
    </xf>
    <xf numFmtId="0" fontId="32" fillId="0" borderId="69" xfId="9" applyFont="1" applyBorder="1" applyAlignment="1" applyProtection="1">
      <alignment vertical="center" shrinkToFit="1"/>
    </xf>
    <xf numFmtId="0" fontId="32" fillId="0" borderId="69" xfId="9" applyFont="1" applyBorder="1" applyAlignment="1" applyProtection="1">
      <alignment horizontal="center" vertical="center" shrinkToFit="1"/>
    </xf>
    <xf numFmtId="0" fontId="0" fillId="0" borderId="0" xfId="0" applyFill="1" applyBorder="1" applyAlignment="1" applyProtection="1">
      <alignment horizontal="center" vertical="center" wrapText="1"/>
      <protection locked="0"/>
    </xf>
    <xf numFmtId="0" fontId="4" fillId="0" borderId="0" xfId="0" applyFont="1" applyBorder="1" applyAlignment="1" applyProtection="1">
      <alignment horizontal="center" vertical="center" wrapText="1"/>
      <protection locked="0"/>
    </xf>
    <xf numFmtId="0" fontId="0" fillId="0" borderId="0" xfId="0" applyAlignment="1">
      <alignment horizontal="center" vertical="center"/>
    </xf>
    <xf numFmtId="0" fontId="0" fillId="0" borderId="0" xfId="0" applyAlignment="1" applyProtection="1">
      <alignment horizontal="center" wrapText="1"/>
      <protection locked="0"/>
    </xf>
    <xf numFmtId="49" fontId="27" fillId="0" borderId="0" xfId="0" applyNumberFormat="1" applyFont="1" applyAlignment="1">
      <alignment horizontal="center" vertical="center" wrapText="1"/>
    </xf>
    <xf numFmtId="165" fontId="0" fillId="0" borderId="0" xfId="1" applyFont="1" applyAlignment="1" applyProtection="1">
      <alignment horizontal="center" vertical="center"/>
      <protection locked="0"/>
    </xf>
    <xf numFmtId="164" fontId="4" fillId="15" borderId="64" xfId="12" applyNumberFormat="1" applyFont="1" applyFill="1" applyBorder="1" applyAlignment="1" applyProtection="1">
      <alignment horizontal="center" vertical="center"/>
    </xf>
    <xf numFmtId="164" fontId="4" fillId="15" borderId="11" xfId="12" applyNumberFormat="1" applyFont="1" applyFill="1" applyBorder="1" applyAlignment="1" applyProtection="1">
      <alignment horizontal="center" vertical="center"/>
    </xf>
    <xf numFmtId="164" fontId="4" fillId="9" borderId="11" xfId="12" applyNumberFormat="1" applyFont="1" applyFill="1" applyBorder="1" applyAlignment="1" applyProtection="1">
      <alignment horizontal="center" vertical="center"/>
      <protection locked="0"/>
    </xf>
    <xf numFmtId="164" fontId="4" fillId="9" borderId="63" xfId="12" applyNumberFormat="1" applyFont="1" applyFill="1" applyBorder="1" applyAlignment="1" applyProtection="1">
      <alignment horizontal="center" vertical="center"/>
      <protection locked="0"/>
    </xf>
    <xf numFmtId="10" fontId="0" fillId="0" borderId="0" xfId="2" applyNumberFormat="1" applyFont="1" applyAlignment="1" applyProtection="1">
      <alignment horizontal="center" vertical="center"/>
      <protection locked="0"/>
    </xf>
    <xf numFmtId="9" fontId="0" fillId="0" borderId="0" xfId="2" applyNumberFormat="1" applyFont="1" applyAlignment="1" applyProtection="1">
      <alignment horizontal="center" vertical="center"/>
      <protection locked="0"/>
    </xf>
    <xf numFmtId="0" fontId="17" fillId="0" borderId="11" xfId="9" applyFont="1" applyFill="1" applyBorder="1" applyAlignment="1" applyProtection="1">
      <alignment horizontal="right" vertical="center" shrinkToFit="1"/>
    </xf>
    <xf numFmtId="170" fontId="18" fillId="0" borderId="11" xfId="1" applyNumberFormat="1" applyFont="1" applyFill="1" applyBorder="1" applyAlignment="1" applyProtection="1">
      <alignment horizontal="right" vertical="center"/>
    </xf>
    <xf numFmtId="0" fontId="0" fillId="0" borderId="0" xfId="0" applyAlignment="1" applyProtection="1">
      <alignment horizontal="center" vertical="center"/>
      <protection locked="0"/>
    </xf>
    <xf numFmtId="0" fontId="21" fillId="0" borderId="9" xfId="0" applyFont="1" applyFill="1" applyBorder="1" applyAlignment="1">
      <alignment horizontal="center" vertical="center"/>
    </xf>
    <xf numFmtId="0" fontId="9" fillId="3" borderId="43" xfId="9" applyFont="1" applyFill="1" applyBorder="1" applyAlignment="1" applyProtection="1">
      <alignment horizontal="center" vertical="center" shrinkToFit="1"/>
    </xf>
    <xf numFmtId="0" fontId="19" fillId="5" borderId="42" xfId="9" applyFont="1" applyFill="1" applyBorder="1" applyAlignment="1" applyProtection="1">
      <alignment horizontal="right" vertical="center" shrinkToFit="1"/>
    </xf>
    <xf numFmtId="170" fontId="9" fillId="5" borderId="42" xfId="10" applyNumberFormat="1" applyFont="1" applyFill="1" applyBorder="1" applyAlignment="1" applyProtection="1">
      <alignment horizontal="center" vertical="center"/>
    </xf>
    <xf numFmtId="9" fontId="19" fillId="9" borderId="4" xfId="9" applyNumberFormat="1" applyFont="1" applyFill="1" applyBorder="1" applyAlignment="1" applyProtection="1">
      <alignment horizontal="center" vertical="center" shrinkToFit="1"/>
      <protection locked="0"/>
    </xf>
    <xf numFmtId="0" fontId="19" fillId="9" borderId="4" xfId="9" applyFont="1" applyFill="1" applyBorder="1" applyAlignment="1" applyProtection="1">
      <alignment horizontal="center" vertical="center" shrinkToFit="1"/>
      <protection locked="0"/>
    </xf>
    <xf numFmtId="170" fontId="18" fillId="0" borderId="11" xfId="10" applyNumberFormat="1" applyFont="1" applyFill="1" applyBorder="1" applyAlignment="1" applyProtection="1">
      <alignment horizontal="center" vertical="center"/>
    </xf>
    <xf numFmtId="165" fontId="17" fillId="0" borderId="4" xfId="1" applyFont="1" applyFill="1" applyBorder="1" applyAlignment="1" applyProtection="1">
      <alignment horizontal="right" vertical="center" shrinkToFit="1"/>
    </xf>
    <xf numFmtId="0" fontId="19" fillId="0" borderId="11" xfId="9" applyFont="1" applyFill="1" applyBorder="1" applyAlignment="1" applyProtection="1">
      <alignment horizontal="right" vertical="center" shrinkToFit="1"/>
    </xf>
    <xf numFmtId="170" fontId="9" fillId="0" borderId="11" xfId="10" applyNumberFormat="1" applyFont="1" applyFill="1" applyBorder="1" applyAlignment="1" applyProtection="1">
      <alignment horizontal="center" vertical="center"/>
    </xf>
    <xf numFmtId="170" fontId="18" fillId="0" borderId="4" xfId="10" applyNumberFormat="1" applyFont="1" applyFill="1" applyBorder="1" applyAlignment="1" applyProtection="1">
      <alignment horizontal="center" vertical="center"/>
    </xf>
    <xf numFmtId="49" fontId="5" fillId="0" borderId="11" xfId="0" applyNumberFormat="1" applyFont="1" applyFill="1" applyBorder="1" applyAlignment="1">
      <alignment horizontal="left" vertical="center"/>
    </xf>
    <xf numFmtId="170" fontId="10" fillId="0" borderId="11" xfId="0" applyNumberFormat="1" applyFont="1" applyFill="1" applyBorder="1" applyAlignment="1" applyProtection="1">
      <alignment horizontal="center" vertical="center"/>
      <protection locked="0"/>
    </xf>
    <xf numFmtId="164" fontId="1" fillId="9" borderId="64" xfId="12" applyNumberFormat="1" applyFont="1" applyFill="1" applyBorder="1" applyAlignment="1" applyProtection="1">
      <alignment horizontal="center" vertical="center"/>
      <protection locked="0"/>
    </xf>
    <xf numFmtId="164" fontId="1" fillId="9" borderId="11" xfId="12" applyNumberFormat="1" applyFont="1" applyFill="1" applyBorder="1" applyAlignment="1" applyProtection="1">
      <alignment horizontal="center" vertical="center"/>
      <protection locked="0"/>
    </xf>
    <xf numFmtId="164" fontId="1" fillId="9" borderId="63" xfId="12" applyNumberFormat="1" applyFont="1" applyFill="1" applyBorder="1" applyAlignment="1" applyProtection="1">
      <alignment horizontal="center" vertical="center"/>
      <protection locked="0"/>
    </xf>
    <xf numFmtId="0" fontId="24" fillId="0" borderId="0" xfId="0" applyFont="1" applyAlignment="1">
      <alignment horizontal="right"/>
    </xf>
    <xf numFmtId="165" fontId="11" fillId="0" borderId="0" xfId="1" applyFont="1" applyBorder="1" applyAlignment="1">
      <alignment horizontal="right" vertical="center"/>
    </xf>
    <xf numFmtId="0" fontId="10" fillId="0" borderId="11" xfId="0" applyFont="1" applyFill="1" applyBorder="1" applyAlignment="1" applyProtection="1">
      <alignment horizontal="center" vertical="center"/>
      <protection locked="0"/>
    </xf>
    <xf numFmtId="0" fontId="5" fillId="0" borderId="11" xfId="1" applyNumberFormat="1" applyFont="1" applyFill="1" applyBorder="1" applyAlignment="1">
      <alignment horizontal="left" vertical="center"/>
    </xf>
    <xf numFmtId="49" fontId="5" fillId="0" borderId="4" xfId="0" applyNumberFormat="1" applyFont="1" applyFill="1" applyBorder="1" applyAlignment="1">
      <alignment horizontal="left" vertical="center"/>
    </xf>
    <xf numFmtId="49" fontId="5" fillId="0" borderId="9" xfId="0" applyNumberFormat="1" applyFont="1" applyFill="1" applyBorder="1" applyAlignment="1">
      <alignment horizontal="left" vertical="center"/>
    </xf>
    <xf numFmtId="0" fontId="5" fillId="0" borderId="11" xfId="0" applyFont="1" applyFill="1" applyBorder="1" applyAlignment="1">
      <alignment horizontal="left" vertical="center"/>
    </xf>
    <xf numFmtId="0" fontId="22" fillId="0" borderId="11" xfId="0" applyFont="1" applyBorder="1" applyAlignment="1">
      <alignment horizontal="right" vertical="center"/>
    </xf>
    <xf numFmtId="165" fontId="1" fillId="0" borderId="11" xfId="1" applyFont="1" applyFill="1" applyBorder="1" applyAlignment="1">
      <alignment horizontal="left" vertical="center"/>
    </xf>
    <xf numFmtId="0" fontId="4" fillId="0" borderId="0" xfId="1" applyNumberFormat="1" applyFont="1" applyAlignment="1" applyProtection="1">
      <alignment horizontal="center" vertical="center"/>
      <protection locked="0"/>
    </xf>
    <xf numFmtId="0" fontId="0" fillId="0" borderId="0" xfId="1" applyNumberFormat="1" applyFont="1" applyAlignment="1" applyProtection="1">
      <alignment horizontal="center" vertical="center"/>
      <protection locked="0"/>
    </xf>
    <xf numFmtId="170" fontId="18" fillId="0" borderId="4" xfId="1" applyNumberFormat="1" applyFont="1" applyFill="1" applyBorder="1" applyAlignment="1" applyProtection="1">
      <alignment horizontal="right" vertical="center"/>
    </xf>
    <xf numFmtId="170" fontId="9" fillId="5" borderId="42" xfId="1" applyNumberFormat="1" applyFont="1" applyFill="1" applyBorder="1" applyAlignment="1" applyProtection="1">
      <alignment horizontal="right" vertical="center"/>
    </xf>
    <xf numFmtId="165" fontId="4" fillId="9" borderId="11" xfId="1" applyFont="1" applyFill="1" applyBorder="1" applyAlignment="1" applyProtection="1">
      <alignment horizontal="left" vertical="center"/>
      <protection locked="0"/>
    </xf>
    <xf numFmtId="0" fontId="5" fillId="0" borderId="11" xfId="0" applyFont="1" applyBorder="1" applyAlignment="1">
      <alignment horizontal="right" vertical="center"/>
    </xf>
    <xf numFmtId="165" fontId="4" fillId="9" borderId="4" xfId="1" applyFont="1" applyFill="1" applyBorder="1" applyAlignment="1" applyProtection="1">
      <alignment horizontal="left" vertical="center"/>
      <protection locked="0"/>
    </xf>
    <xf numFmtId="165" fontId="4" fillId="9" borderId="9" xfId="1" applyFont="1" applyFill="1" applyBorder="1" applyAlignment="1" applyProtection="1">
      <alignment horizontal="left" vertical="center"/>
      <protection locked="0"/>
    </xf>
    <xf numFmtId="0" fontId="17" fillId="0" borderId="4" xfId="9" applyFont="1" applyFill="1" applyBorder="1" applyAlignment="1" applyProtection="1">
      <alignment horizontal="right" vertical="center" shrinkToFit="1"/>
    </xf>
    <xf numFmtId="0" fontId="0" fillId="0" borderId="0" xfId="0" applyAlignment="1" applyProtection="1">
      <alignment horizontal="left" vertical="center"/>
      <protection locked="0"/>
    </xf>
    <xf numFmtId="0" fontId="6" fillId="2" borderId="11" xfId="0" applyFont="1" applyFill="1" applyBorder="1" applyAlignment="1" applyProtection="1">
      <alignment horizontal="center" vertical="center"/>
      <protection locked="0"/>
    </xf>
    <xf numFmtId="169" fontId="4" fillId="9" borderId="11" xfId="0" applyNumberFormat="1" applyFont="1" applyFill="1" applyBorder="1" applyAlignment="1" applyProtection="1">
      <alignment horizontal="center" vertical="center"/>
      <protection locked="0"/>
    </xf>
    <xf numFmtId="14" fontId="4" fillId="9" borderId="11" xfId="0" applyNumberFormat="1" applyFont="1" applyFill="1" applyBorder="1" applyAlignment="1" applyProtection="1">
      <alignment horizontal="center" vertical="center"/>
      <protection locked="0"/>
    </xf>
    <xf numFmtId="174" fontId="4" fillId="0" borderId="0" xfId="0" applyNumberFormat="1" applyFont="1" applyBorder="1" applyAlignment="1">
      <alignment horizontal="center" vertical="center"/>
    </xf>
    <xf numFmtId="0" fontId="30" fillId="0" borderId="0" xfId="0" applyFont="1" applyBorder="1" applyAlignment="1">
      <alignment horizontal="center" vertical="center"/>
    </xf>
    <xf numFmtId="49" fontId="5" fillId="14" borderId="65" xfId="0" applyNumberFormat="1" applyFont="1" applyFill="1" applyBorder="1" applyAlignment="1">
      <alignment horizontal="center" vertical="center"/>
    </xf>
    <xf numFmtId="49" fontId="5" fillId="14" borderId="64" xfId="0" applyNumberFormat="1" applyFont="1" applyFill="1" applyBorder="1" applyAlignment="1">
      <alignment horizontal="center" vertical="center"/>
    </xf>
    <xf numFmtId="49" fontId="5" fillId="14" borderId="63" xfId="0" applyNumberFormat="1" applyFont="1" applyFill="1" applyBorder="1" applyAlignment="1">
      <alignment horizontal="center" vertical="center"/>
    </xf>
    <xf numFmtId="49" fontId="0" fillId="0" borderId="11" xfId="0" applyNumberFormat="1" applyBorder="1" applyAlignment="1">
      <alignment horizontal="center" vertical="center"/>
    </xf>
    <xf numFmtId="170" fontId="18" fillId="0" borderId="15" xfId="1" applyNumberFormat="1" applyFont="1" applyFill="1" applyBorder="1" applyAlignment="1" applyProtection="1">
      <alignment horizontal="right" vertical="center"/>
    </xf>
    <xf numFmtId="165" fontId="32" fillId="0" borderId="0" xfId="1" applyFont="1" applyBorder="1" applyAlignment="1" applyProtection="1">
      <alignment horizontal="center" vertical="center" shrinkToFit="1"/>
    </xf>
    <xf numFmtId="165" fontId="32" fillId="0" borderId="7" xfId="1" applyFont="1" applyBorder="1" applyAlignment="1" applyProtection="1">
      <alignment horizontal="center" vertical="center" shrinkToFit="1"/>
    </xf>
    <xf numFmtId="165" fontId="32" fillId="0" borderId="9" xfId="1" applyFont="1" applyBorder="1" applyAlignment="1" applyProtection="1">
      <alignment horizontal="center" vertical="center" shrinkToFit="1"/>
    </xf>
    <xf numFmtId="165" fontId="32" fillId="0" borderId="10" xfId="1" applyFont="1" applyBorder="1" applyAlignment="1" applyProtection="1">
      <alignment horizontal="center" vertical="center" shrinkToFit="1"/>
    </xf>
    <xf numFmtId="165" fontId="32" fillId="0" borderId="6" xfId="1" applyFont="1" applyBorder="1" applyAlignment="1" applyProtection="1">
      <alignment horizontal="left" vertical="center" shrinkToFit="1"/>
    </xf>
    <xf numFmtId="165" fontId="32" fillId="0" borderId="0" xfId="1" applyFont="1" applyBorder="1" applyAlignment="1" applyProtection="1">
      <alignment horizontal="left" vertical="center" shrinkToFit="1"/>
    </xf>
    <xf numFmtId="0" fontId="32" fillId="0" borderId="0" xfId="9" applyFont="1" applyBorder="1" applyAlignment="1" applyProtection="1">
      <alignment horizontal="left" vertical="center" shrinkToFit="1"/>
    </xf>
    <xf numFmtId="165" fontId="33" fillId="0" borderId="4" xfId="1" applyFont="1" applyFill="1" applyBorder="1" applyAlignment="1" applyProtection="1">
      <alignment horizontal="left" vertical="center"/>
    </xf>
    <xf numFmtId="165" fontId="33" fillId="0" borderId="9" xfId="1" applyFont="1" applyFill="1" applyBorder="1" applyAlignment="1" applyProtection="1">
      <alignment horizontal="left" vertical="center"/>
    </xf>
    <xf numFmtId="164" fontId="32" fillId="0" borderId="4" xfId="12" applyNumberFormat="1" applyFont="1" applyFill="1" applyBorder="1" applyAlignment="1" applyProtection="1">
      <alignment horizontal="left" vertical="center" shrinkToFit="1"/>
    </xf>
    <xf numFmtId="164" fontId="32" fillId="0" borderId="9" xfId="12" applyNumberFormat="1" applyFont="1" applyFill="1" applyBorder="1" applyAlignment="1" applyProtection="1">
      <alignment horizontal="left" vertical="center" shrinkToFit="1"/>
    </xf>
    <xf numFmtId="167" fontId="32" fillId="0" borderId="4" xfId="10" applyNumberFormat="1" applyFont="1" applyFill="1" applyBorder="1" applyAlignment="1" applyProtection="1">
      <alignment horizontal="center" vertical="center" shrinkToFit="1"/>
    </xf>
    <xf numFmtId="167" fontId="32" fillId="0" borderId="9" xfId="10" applyNumberFormat="1" applyFont="1" applyFill="1" applyBorder="1" applyAlignment="1" applyProtection="1">
      <alignment horizontal="center" vertical="center" shrinkToFit="1"/>
    </xf>
    <xf numFmtId="0" fontId="32" fillId="0" borderId="4" xfId="10" applyNumberFormat="1" applyFont="1" applyFill="1" applyBorder="1" applyAlignment="1" applyProtection="1">
      <alignment horizontal="center" vertical="center" shrinkToFit="1"/>
    </xf>
    <xf numFmtId="0" fontId="32" fillId="0" borderId="9" xfId="10" applyNumberFormat="1" applyFont="1" applyFill="1" applyBorder="1" applyAlignment="1" applyProtection="1">
      <alignment horizontal="center" vertical="center" shrinkToFit="1"/>
    </xf>
    <xf numFmtId="165" fontId="33" fillId="0" borderId="4" xfId="1" applyFont="1" applyFill="1" applyBorder="1" applyAlignment="1" applyProtection="1">
      <alignment horizontal="right" vertical="center" shrinkToFit="1"/>
    </xf>
    <xf numFmtId="0" fontId="32" fillId="0" borderId="0" xfId="9" applyFont="1" applyBorder="1" applyAlignment="1" applyProtection="1">
      <alignment horizontal="center" vertical="center" shrinkToFit="1"/>
    </xf>
    <xf numFmtId="0" fontId="32" fillId="0" borderId="3" xfId="9" applyFont="1" applyBorder="1" applyAlignment="1" applyProtection="1">
      <alignment horizontal="center" vertical="center" shrinkToFit="1"/>
    </xf>
    <xf numFmtId="0" fontId="32" fillId="0" borderId="2" xfId="9" applyFont="1" applyBorder="1" applyAlignment="1" applyProtection="1">
      <alignment horizontal="center" vertical="center" shrinkToFit="1"/>
    </xf>
    <xf numFmtId="165" fontId="35" fillId="0" borderId="4" xfId="1" applyFont="1" applyFill="1" applyBorder="1" applyAlignment="1" applyProtection="1">
      <alignment horizontal="right" vertical="center" shrinkToFit="1"/>
    </xf>
    <xf numFmtId="165" fontId="35" fillId="0" borderId="11" xfId="1" applyFont="1" applyFill="1" applyBorder="1" applyAlignment="1" applyProtection="1">
      <alignment horizontal="right" vertical="center" shrinkToFit="1"/>
    </xf>
    <xf numFmtId="0" fontId="32" fillId="0" borderId="6" xfId="9" applyFont="1" applyBorder="1" applyAlignment="1" applyProtection="1">
      <alignment horizontal="center" vertical="center" shrinkToFit="1"/>
    </xf>
    <xf numFmtId="167" fontId="32" fillId="0" borderId="6" xfId="10" applyNumberFormat="1" applyFont="1" applyFill="1" applyBorder="1" applyAlignment="1" applyProtection="1">
      <alignment horizontal="left" vertical="center" shrinkToFit="1"/>
    </xf>
    <xf numFmtId="167" fontId="32" fillId="0" borderId="0" xfId="10" applyNumberFormat="1" applyFont="1" applyFill="1" applyBorder="1" applyAlignment="1" applyProtection="1">
      <alignment horizontal="left" vertical="center" shrinkToFit="1"/>
    </xf>
    <xf numFmtId="167" fontId="32" fillId="0" borderId="7" xfId="10" applyNumberFormat="1" applyFont="1" applyFill="1" applyBorder="1" applyAlignment="1" applyProtection="1">
      <alignment horizontal="left" vertical="center" shrinkToFit="1"/>
    </xf>
    <xf numFmtId="165" fontId="32" fillId="0" borderId="7" xfId="1" applyFont="1" applyBorder="1" applyAlignment="1" applyProtection="1">
      <alignment horizontal="left" vertical="center" shrinkToFit="1"/>
    </xf>
    <xf numFmtId="0" fontId="32" fillId="0" borderId="0" xfId="9" applyFont="1" applyFill="1" applyAlignment="1" applyProtection="1">
      <alignment horizontal="left" vertical="center" shrinkToFit="1"/>
    </xf>
    <xf numFmtId="169" fontId="32" fillId="0" borderId="16" xfId="9" applyNumberFormat="1" applyFont="1" applyFill="1" applyBorder="1" applyAlignment="1" applyProtection="1">
      <alignment horizontal="center" vertical="center" shrinkToFit="1"/>
    </xf>
    <xf numFmtId="169" fontId="32" fillId="0" borderId="4" xfId="9" applyNumberFormat="1" applyFont="1" applyFill="1" applyBorder="1" applyAlignment="1" applyProtection="1">
      <alignment horizontal="center" vertical="center" shrinkToFit="1"/>
    </xf>
    <xf numFmtId="164" fontId="34" fillId="0" borderId="11" xfId="12" applyNumberFormat="1" applyFont="1" applyFill="1" applyBorder="1" applyAlignment="1" applyProtection="1">
      <alignment horizontal="left" vertical="center" shrinkToFit="1"/>
    </xf>
    <xf numFmtId="0" fontId="32" fillId="0" borderId="0" xfId="9" applyFont="1" applyFill="1" applyBorder="1" applyAlignment="1" applyProtection="1">
      <alignment horizontal="right" vertical="center" shrinkToFit="1"/>
    </xf>
    <xf numFmtId="172" fontId="32" fillId="0" borderId="0" xfId="9" applyNumberFormat="1" applyFont="1" applyFill="1" applyBorder="1" applyAlignment="1" applyProtection="1">
      <alignment horizontal="left" vertical="center" shrinkToFit="1"/>
    </xf>
    <xf numFmtId="0" fontId="34" fillId="0" borderId="0" xfId="9" applyFont="1" applyAlignment="1" applyProtection="1">
      <alignment horizontal="center" vertical="center" shrinkToFit="1"/>
    </xf>
    <xf numFmtId="165" fontId="32" fillId="0" borderId="6" xfId="1" applyFont="1" applyBorder="1" applyAlignment="1" applyProtection="1">
      <alignment horizontal="center" vertical="center" shrinkToFit="1"/>
    </xf>
    <xf numFmtId="0" fontId="15" fillId="5" borderId="41" xfId="9" applyFont="1" applyFill="1" applyBorder="1" applyAlignment="1">
      <alignment horizontal="right" vertical="center"/>
    </xf>
    <xf numFmtId="0" fontId="14" fillId="0" borderId="27" xfId="9" applyFont="1" applyBorder="1" applyAlignment="1">
      <alignment horizontal="right" vertical="center"/>
    </xf>
    <xf numFmtId="0" fontId="16" fillId="4" borderId="30" xfId="9" applyFont="1" applyFill="1" applyBorder="1" applyAlignment="1">
      <alignment horizontal="center" vertical="center"/>
    </xf>
    <xf numFmtId="0" fontId="16" fillId="4" borderId="31" xfId="9" applyFont="1" applyFill="1" applyBorder="1" applyAlignment="1">
      <alignment horizontal="center" vertical="center"/>
    </xf>
    <xf numFmtId="0" fontId="16" fillId="4" borderId="32" xfId="9" applyFont="1" applyFill="1" applyBorder="1" applyAlignment="1">
      <alignment horizontal="center" vertical="center"/>
    </xf>
    <xf numFmtId="167" fontId="16" fillId="4" borderId="61" xfId="10" applyNumberFormat="1" applyFont="1" applyFill="1" applyBorder="1" applyAlignment="1">
      <alignment horizontal="center" vertical="center" shrinkToFit="1"/>
    </xf>
    <xf numFmtId="167" fontId="16" fillId="4" borderId="62" xfId="10" applyNumberFormat="1" applyFont="1" applyFill="1" applyBorder="1" applyAlignment="1">
      <alignment horizontal="center" vertical="center" shrinkToFit="1"/>
    </xf>
    <xf numFmtId="0" fontId="15" fillId="5" borderId="30" xfId="9" applyFont="1" applyFill="1" applyBorder="1" applyAlignment="1">
      <alignment horizontal="center" vertical="center"/>
    </xf>
    <xf numFmtId="0" fontId="15" fillId="5" borderId="31" xfId="9" applyFont="1" applyFill="1" applyBorder="1" applyAlignment="1">
      <alignment horizontal="center" vertical="center"/>
    </xf>
    <xf numFmtId="0" fontId="15" fillId="5" borderId="32" xfId="9" applyFont="1" applyFill="1" applyBorder="1" applyAlignment="1">
      <alignment horizontal="center" vertical="center"/>
    </xf>
    <xf numFmtId="167" fontId="16" fillId="4" borderId="30" xfId="10" applyNumberFormat="1" applyFont="1" applyFill="1" applyBorder="1" applyAlignment="1">
      <alignment horizontal="center" vertical="center" shrinkToFit="1"/>
    </xf>
    <xf numFmtId="167" fontId="16" fillId="4" borderId="32" xfId="10" applyNumberFormat="1" applyFont="1" applyFill="1" applyBorder="1" applyAlignment="1">
      <alignment horizontal="center" vertical="center" shrinkToFit="1"/>
    </xf>
    <xf numFmtId="0" fontId="14" fillId="0" borderId="30" xfId="9" applyFont="1" applyBorder="1" applyAlignment="1">
      <alignment horizontal="right" vertical="center"/>
    </xf>
    <xf numFmtId="0" fontId="14" fillId="0" borderId="31" xfId="9" applyFont="1" applyBorder="1" applyAlignment="1">
      <alignment horizontal="right" vertical="center"/>
    </xf>
    <xf numFmtId="0" fontId="14" fillId="0" borderId="32" xfId="9" applyFont="1" applyBorder="1" applyAlignment="1">
      <alignment horizontal="right" vertical="center"/>
    </xf>
    <xf numFmtId="0" fontId="25" fillId="5" borderId="18" xfId="9" applyFont="1" applyFill="1" applyBorder="1" applyAlignment="1">
      <alignment horizontal="center" vertical="center"/>
    </xf>
    <xf numFmtId="0" fontId="25" fillId="5" borderId="19" xfId="9" applyFont="1" applyFill="1" applyBorder="1" applyAlignment="1">
      <alignment horizontal="center" vertical="center"/>
    </xf>
    <xf numFmtId="0" fontId="25" fillId="5" borderId="20" xfId="9" applyFont="1" applyFill="1" applyBorder="1" applyAlignment="1">
      <alignment horizontal="center" vertical="center"/>
    </xf>
    <xf numFmtId="0" fontId="25" fillId="5" borderId="21" xfId="9" applyFont="1" applyFill="1" applyBorder="1" applyAlignment="1">
      <alignment horizontal="center" vertical="center"/>
    </xf>
    <xf numFmtId="0" fontId="25" fillId="5" borderId="0" xfId="9" applyFont="1" applyFill="1" applyBorder="1" applyAlignment="1">
      <alignment horizontal="center" vertical="center"/>
    </xf>
    <xf numFmtId="0" fontId="25" fillId="5" borderId="22" xfId="9" applyFont="1" applyFill="1" applyBorder="1" applyAlignment="1">
      <alignment horizontal="center" vertical="center"/>
    </xf>
    <xf numFmtId="0" fontId="15" fillId="5" borderId="12" xfId="9" applyFont="1" applyFill="1" applyBorder="1" applyAlignment="1">
      <alignment horizontal="center" vertical="center"/>
    </xf>
    <xf numFmtId="0" fontId="15" fillId="5" borderId="13" xfId="9" applyFont="1" applyFill="1" applyBorder="1" applyAlignment="1">
      <alignment horizontal="center" vertical="center"/>
    </xf>
    <xf numFmtId="0" fontId="15" fillId="5" borderId="14" xfId="9" applyFont="1" applyFill="1" applyBorder="1" applyAlignment="1">
      <alignment horizontal="center" vertical="center"/>
    </xf>
    <xf numFmtId="167" fontId="16" fillId="4" borderId="12" xfId="10" applyNumberFormat="1" applyFont="1" applyFill="1" applyBorder="1" applyAlignment="1">
      <alignment horizontal="center" vertical="center" shrinkToFit="1"/>
    </xf>
    <xf numFmtId="167" fontId="16" fillId="4" borderId="14" xfId="10" applyNumberFormat="1" applyFont="1" applyFill="1" applyBorder="1" applyAlignment="1">
      <alignment horizontal="center" vertical="center" shrinkToFit="1"/>
    </xf>
    <xf numFmtId="0" fontId="26" fillId="0" borderId="0" xfId="9" applyFont="1" applyAlignment="1">
      <alignment horizontal="center" vertical="center" wrapText="1"/>
    </xf>
    <xf numFmtId="0" fontId="28" fillId="0" borderId="0" xfId="9" applyFont="1" applyAlignment="1">
      <alignment horizontal="center" vertical="top"/>
    </xf>
    <xf numFmtId="0" fontId="16" fillId="11" borderId="0" xfId="9" applyFont="1" applyFill="1" applyBorder="1" applyAlignment="1">
      <alignment horizontal="center" vertical="center"/>
    </xf>
    <xf numFmtId="0" fontId="16" fillId="12" borderId="0" xfId="9" applyFont="1" applyFill="1" applyBorder="1" applyAlignment="1">
      <alignment horizontal="center" vertical="center"/>
    </xf>
  </cellXfs>
  <cellStyles count="13">
    <cellStyle name="Moeda" xfId="12" builtinId="4"/>
    <cellStyle name="Moeda 2" xfId="4" xr:uid="{00000000-0005-0000-0000-000001000000}"/>
    <cellStyle name="Moeda 3" xfId="11" xr:uid="{00000000-0005-0000-0000-000002000000}"/>
    <cellStyle name="Normal" xfId="0" builtinId="0"/>
    <cellStyle name="Normal 2" xfId="3" xr:uid="{00000000-0005-0000-0000-000004000000}"/>
    <cellStyle name="Normal 2 2" xfId="9" xr:uid="{00000000-0005-0000-0000-000005000000}"/>
    <cellStyle name="Porcentagem" xfId="2" builtinId="5"/>
    <cellStyle name="Porcentagem 2" xfId="5" xr:uid="{00000000-0005-0000-0000-000007000000}"/>
    <cellStyle name="Porcentagem 3" xfId="7" xr:uid="{00000000-0005-0000-0000-000008000000}"/>
    <cellStyle name="Separador de milhares 2" xfId="8" xr:uid="{00000000-0005-0000-0000-000009000000}"/>
    <cellStyle name="Vírgula" xfId="1" builtinId="3"/>
    <cellStyle name="Vírgula 2" xfId="6" xr:uid="{00000000-0005-0000-0000-00000B000000}"/>
    <cellStyle name="Vírgula 2 2" xfId="10" xr:uid="{00000000-0005-0000-0000-00000C000000}"/>
  </cellStyles>
  <dxfs count="36">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alignment horizontal="center"/>
    </dxf>
    <dxf>
      <alignment horizontal="cent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0.5">
            <color theme="0" tint="-0.25098422193060094"/>
          </stop>
          <stop position="1">
            <color theme="0"/>
          </stop>
        </gradientFill>
      </fill>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type="path" left="0.5" right="0.5" top="0.5" bottom="0.5">
          <stop position="0">
            <color theme="5" tint="0.59999389629810485"/>
          </stop>
          <stop position="1">
            <color theme="0"/>
          </stop>
        </gradientFill>
      </fill>
    </dxf>
    <dxf>
      <fill>
        <gradientFill type="path" left="0.5" right="0.5" top="0.5" bottom="0.5">
          <stop position="0">
            <color rgb="FFFFFF00"/>
          </stop>
          <stop position="1">
            <color theme="0"/>
          </stop>
        </gradientFill>
      </fill>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4" tint="0.40000610370189521"/>
          </stop>
          <stop position="0.5">
            <color theme="0"/>
          </stop>
          <stop position="1">
            <color theme="4" tint="0.40000610370189521"/>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4" tint="0.40000610370189521"/>
          </stop>
          <stop position="0.5">
            <color theme="0"/>
          </stop>
          <stop position="1">
            <color theme="4" tint="0.40000610370189521"/>
          </stop>
        </gradientFill>
      </fill>
      <border>
        <left style="thin">
          <color auto="1"/>
        </left>
        <right style="thin">
          <color auto="1"/>
        </right>
        <top style="thin">
          <color auto="1"/>
        </top>
        <bottom style="thin">
          <color auto="1"/>
        </bottom>
        <vertical/>
        <horizontal/>
      </border>
    </dxf>
    <dxf>
      <font>
        <color theme="0"/>
      </font>
      <fill>
        <patternFill>
          <bgColor theme="3"/>
        </patternFill>
      </fill>
    </dxf>
    <dxf>
      <font>
        <color theme="0"/>
      </font>
      <fill>
        <patternFill>
          <bgColor theme="3"/>
        </patternFill>
      </fill>
    </dxf>
    <dxf>
      <fill>
        <patternFill>
          <bgColor rgb="FFFFFF66"/>
        </patternFill>
      </fill>
      <border>
        <left style="thin">
          <color theme="3"/>
        </left>
        <right style="thin">
          <color theme="3"/>
        </right>
        <top style="thin">
          <color theme="3"/>
        </top>
        <bottom style="thin">
          <color theme="3"/>
        </bottom>
      </border>
    </dxf>
  </dxfs>
  <tableStyles count="0" defaultTableStyle="TableStyleMedium2" defaultPivotStyle="PivotStyleLight16"/>
  <colors>
    <mruColors>
      <color rgb="FFFFFF66"/>
      <color rgb="FFFAE6BE"/>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79176FB0-B7F2-11CE-97EF-00AA006D2776}"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1" Type="http://schemas.openxmlformats.org/officeDocument/2006/relationships/hyperlink" Target="#Permuta!E6"/></Relationships>
</file>

<file path=xl/drawings/_rels/drawing6.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jpg"/></Relationships>
</file>

<file path=xl/drawings/_rels/drawing7.x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8</xdr:col>
      <xdr:colOff>0</xdr:colOff>
      <xdr:row>6</xdr:row>
      <xdr:rowOff>1</xdr:rowOff>
    </xdr:from>
    <xdr:to>
      <xdr:col>14</xdr:col>
      <xdr:colOff>0</xdr:colOff>
      <xdr:row>7</xdr:row>
      <xdr:rowOff>0</xdr:rowOff>
    </xdr:to>
    <xdr:sp macro="[0]!Ir_CadTomadores" textlink="">
      <xdr:nvSpPr>
        <xdr:cNvPr id="2" name="CaixaDeTexto 1">
          <a:extLst>
            <a:ext uri="{FF2B5EF4-FFF2-40B4-BE49-F238E27FC236}">
              <a16:creationId xmlns:a16="http://schemas.microsoft.com/office/drawing/2014/main" id="{00000000-0008-0000-0000-000002000000}"/>
            </a:ext>
          </a:extLst>
        </xdr:cNvPr>
        <xdr:cNvSpPr txBox="1"/>
      </xdr:nvSpPr>
      <xdr:spPr>
        <a:xfrm>
          <a:off x="542925" y="952501"/>
          <a:ext cx="3657600" cy="238124"/>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CADASTRO DOS TOMADORES DOS SERVIÇOS</a:t>
          </a:r>
        </a:p>
      </xdr:txBody>
    </xdr:sp>
    <xdr:clientData/>
  </xdr:twoCellAnchor>
  <xdr:twoCellAnchor>
    <xdr:from>
      <xdr:col>7</xdr:col>
      <xdr:colOff>0</xdr:colOff>
      <xdr:row>7</xdr:row>
      <xdr:rowOff>0</xdr:rowOff>
    </xdr:from>
    <xdr:to>
      <xdr:col>8</xdr:col>
      <xdr:colOff>0</xdr:colOff>
      <xdr:row>7</xdr:row>
      <xdr:rowOff>1</xdr:rowOff>
    </xdr:to>
    <xdr:sp macro="" textlink="">
      <xdr:nvSpPr>
        <xdr:cNvPr id="3" name="CaixaDeTexto 2">
          <a:extLst>
            <a:ext uri="{FF2B5EF4-FFF2-40B4-BE49-F238E27FC236}">
              <a16:creationId xmlns:a16="http://schemas.microsoft.com/office/drawing/2014/main" id="{00000000-0008-0000-0000-000003000000}"/>
            </a:ext>
          </a:extLst>
        </xdr:cNvPr>
        <xdr:cNvSpPr txBox="1"/>
      </xdr:nvSpPr>
      <xdr:spPr>
        <a:xfrm>
          <a:off x="696058" y="1524001"/>
          <a:ext cx="241788" cy="190500"/>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xdr:from>
      <xdr:col>8</xdr:col>
      <xdr:colOff>0</xdr:colOff>
      <xdr:row>8</xdr:row>
      <xdr:rowOff>1</xdr:rowOff>
    </xdr:from>
    <xdr:to>
      <xdr:col>14</xdr:col>
      <xdr:colOff>0</xdr:colOff>
      <xdr:row>9</xdr:row>
      <xdr:rowOff>0</xdr:rowOff>
    </xdr:to>
    <xdr:sp macro="" textlink="">
      <xdr:nvSpPr>
        <xdr:cNvPr id="4" name="CaixaDeTexto 3">
          <a:extLst>
            <a:ext uri="{FF2B5EF4-FFF2-40B4-BE49-F238E27FC236}">
              <a16:creationId xmlns:a16="http://schemas.microsoft.com/office/drawing/2014/main" id="{00000000-0008-0000-0000-000004000000}"/>
            </a:ext>
          </a:extLst>
        </xdr:cNvPr>
        <xdr:cNvSpPr txBox="1"/>
      </xdr:nvSpPr>
      <xdr:spPr>
        <a:xfrm>
          <a:off x="542925" y="1381126"/>
          <a:ext cx="3657600" cy="238124"/>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xdr:from>
      <xdr:col>7</xdr:col>
      <xdr:colOff>0</xdr:colOff>
      <xdr:row>7</xdr:row>
      <xdr:rowOff>0</xdr:rowOff>
    </xdr:from>
    <xdr:to>
      <xdr:col>8</xdr:col>
      <xdr:colOff>0</xdr:colOff>
      <xdr:row>7</xdr:row>
      <xdr:rowOff>1</xdr:rowOff>
    </xdr:to>
    <xdr:sp macro="" textlink="">
      <xdr:nvSpPr>
        <xdr:cNvPr id="7" name="CaixaDeTexto 6">
          <a:hlinkClick xmlns:r="http://schemas.openxmlformats.org/officeDocument/2006/relationships" r:id="rId1"/>
          <a:extLst>
            <a:ext uri="{FF2B5EF4-FFF2-40B4-BE49-F238E27FC236}">
              <a16:creationId xmlns:a16="http://schemas.microsoft.com/office/drawing/2014/main" id="{00000000-0008-0000-0000-000007000000}"/>
            </a:ext>
          </a:extLst>
        </xdr:cNvPr>
        <xdr:cNvSpPr txBox="1"/>
      </xdr:nvSpPr>
      <xdr:spPr>
        <a:xfrm>
          <a:off x="696058" y="1524001"/>
          <a:ext cx="241788" cy="190500"/>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xdr:from>
      <xdr:col>8</xdr:col>
      <xdr:colOff>0</xdr:colOff>
      <xdr:row>8</xdr:row>
      <xdr:rowOff>1</xdr:rowOff>
    </xdr:from>
    <xdr:to>
      <xdr:col>14</xdr:col>
      <xdr:colOff>0</xdr:colOff>
      <xdr:row>9</xdr:row>
      <xdr:rowOff>0</xdr:rowOff>
    </xdr:to>
    <xdr:sp macro="[0]!Ir_CadPrestadores" textlink="">
      <xdr:nvSpPr>
        <xdr:cNvPr id="8" name="CaixaDeTexto 7">
          <a:extLst>
            <a:ext uri="{FF2B5EF4-FFF2-40B4-BE49-F238E27FC236}">
              <a16:creationId xmlns:a16="http://schemas.microsoft.com/office/drawing/2014/main" id="{00000000-0008-0000-0000-000008000000}"/>
            </a:ext>
          </a:extLst>
        </xdr:cNvPr>
        <xdr:cNvSpPr txBox="1"/>
      </xdr:nvSpPr>
      <xdr:spPr>
        <a:xfrm>
          <a:off x="542925" y="1381126"/>
          <a:ext cx="3657600" cy="238124"/>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CADASTRO DOS PRESTADORES DOS SERVIÇOS</a:t>
          </a:r>
        </a:p>
      </xdr:txBody>
    </xdr:sp>
    <xdr:clientData/>
  </xdr:twoCellAnchor>
  <xdr:twoCellAnchor>
    <xdr:from>
      <xdr:col>8</xdr:col>
      <xdr:colOff>0</xdr:colOff>
      <xdr:row>12</xdr:row>
      <xdr:rowOff>1</xdr:rowOff>
    </xdr:from>
    <xdr:to>
      <xdr:col>14</xdr:col>
      <xdr:colOff>0</xdr:colOff>
      <xdr:row>13</xdr:row>
      <xdr:rowOff>1</xdr:rowOff>
    </xdr:to>
    <xdr:sp macro="[0]!Ir_RegistroRPAs" textlink="">
      <xdr:nvSpPr>
        <xdr:cNvPr id="11" name="CaixaDeTexto 10">
          <a:extLst>
            <a:ext uri="{FF2B5EF4-FFF2-40B4-BE49-F238E27FC236}">
              <a16:creationId xmlns:a16="http://schemas.microsoft.com/office/drawing/2014/main" id="{00000000-0008-0000-0000-00000B000000}"/>
            </a:ext>
          </a:extLst>
        </xdr:cNvPr>
        <xdr:cNvSpPr txBox="1"/>
      </xdr:nvSpPr>
      <xdr:spPr>
        <a:xfrm>
          <a:off x="542925" y="2238376"/>
          <a:ext cx="3657600" cy="238125"/>
        </a:xfrm>
        <a:prstGeom prst="rect">
          <a:avLst/>
        </a:prstGeom>
        <a:solidFill>
          <a:schemeClr val="tx2">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chemeClr val="bg1"/>
              </a:solidFill>
            </a:rPr>
            <a:t>EMISSÃO DO RECIBO DE AUTONÔMO</a:t>
          </a:r>
        </a:p>
      </xdr:txBody>
    </xdr:sp>
    <xdr:clientData/>
  </xdr:twoCellAnchor>
  <xdr:twoCellAnchor>
    <xdr:from>
      <xdr:col>8</xdr:col>
      <xdr:colOff>0</xdr:colOff>
      <xdr:row>14</xdr:row>
      <xdr:rowOff>1</xdr:rowOff>
    </xdr:from>
    <xdr:to>
      <xdr:col>14</xdr:col>
      <xdr:colOff>0</xdr:colOff>
      <xdr:row>15</xdr:row>
      <xdr:rowOff>0</xdr:rowOff>
    </xdr:to>
    <xdr:sp macro="[0]!Ir_TabelaIRINSS" textlink="">
      <xdr:nvSpPr>
        <xdr:cNvPr id="12" name="CaixaDeTexto 11">
          <a:extLst>
            <a:ext uri="{FF2B5EF4-FFF2-40B4-BE49-F238E27FC236}">
              <a16:creationId xmlns:a16="http://schemas.microsoft.com/office/drawing/2014/main" id="{00000000-0008-0000-0000-00000C000000}"/>
            </a:ext>
          </a:extLst>
        </xdr:cNvPr>
        <xdr:cNvSpPr txBox="1"/>
      </xdr:nvSpPr>
      <xdr:spPr>
        <a:xfrm>
          <a:off x="542925" y="2667001"/>
          <a:ext cx="3657600" cy="238124"/>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xdr:from>
      <xdr:col>8</xdr:col>
      <xdr:colOff>0</xdr:colOff>
      <xdr:row>10</xdr:row>
      <xdr:rowOff>1</xdr:rowOff>
    </xdr:from>
    <xdr:to>
      <xdr:col>14</xdr:col>
      <xdr:colOff>0</xdr:colOff>
      <xdr:row>11</xdr:row>
      <xdr:rowOff>0</xdr:rowOff>
    </xdr:to>
    <xdr:sp macro="" textlink="">
      <xdr:nvSpPr>
        <xdr:cNvPr id="14" name="CaixaDeTexto 13">
          <a:extLst>
            <a:ext uri="{FF2B5EF4-FFF2-40B4-BE49-F238E27FC236}">
              <a16:creationId xmlns:a16="http://schemas.microsoft.com/office/drawing/2014/main" id="{00000000-0008-0000-0000-00000E000000}"/>
            </a:ext>
          </a:extLst>
        </xdr:cNvPr>
        <xdr:cNvSpPr txBox="1"/>
      </xdr:nvSpPr>
      <xdr:spPr>
        <a:xfrm>
          <a:off x="542925" y="1809751"/>
          <a:ext cx="3657600" cy="238124"/>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xdr:from>
      <xdr:col>8</xdr:col>
      <xdr:colOff>0</xdr:colOff>
      <xdr:row>10</xdr:row>
      <xdr:rowOff>1</xdr:rowOff>
    </xdr:from>
    <xdr:to>
      <xdr:col>14</xdr:col>
      <xdr:colOff>0</xdr:colOff>
      <xdr:row>11</xdr:row>
      <xdr:rowOff>0</xdr:rowOff>
    </xdr:to>
    <xdr:sp macro="[0]!Ir_CadCidades" textlink="">
      <xdr:nvSpPr>
        <xdr:cNvPr id="16" name="CaixaDeTexto 15">
          <a:extLst>
            <a:ext uri="{FF2B5EF4-FFF2-40B4-BE49-F238E27FC236}">
              <a16:creationId xmlns:a16="http://schemas.microsoft.com/office/drawing/2014/main" id="{00000000-0008-0000-0000-000010000000}"/>
            </a:ext>
          </a:extLst>
        </xdr:cNvPr>
        <xdr:cNvSpPr txBox="1"/>
      </xdr:nvSpPr>
      <xdr:spPr>
        <a:xfrm>
          <a:off x="542925" y="1809751"/>
          <a:ext cx="3657600" cy="238124"/>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CADASTRO DE CIDADES</a:t>
          </a:r>
        </a:p>
      </xdr:txBody>
    </xdr:sp>
    <xdr:clientData/>
  </xdr:twoCellAnchor>
  <xdr:twoCellAnchor>
    <xdr:from>
      <xdr:col>8</xdr:col>
      <xdr:colOff>0</xdr:colOff>
      <xdr:row>14</xdr:row>
      <xdr:rowOff>1</xdr:rowOff>
    </xdr:from>
    <xdr:to>
      <xdr:col>14</xdr:col>
      <xdr:colOff>0</xdr:colOff>
      <xdr:row>15</xdr:row>
      <xdr:rowOff>0</xdr:rowOff>
    </xdr:to>
    <xdr:sp macro="[0]!Ir_TabelaIRINSS" textlink="">
      <xdr:nvSpPr>
        <xdr:cNvPr id="17" name="CaixaDeTexto 16">
          <a:extLst>
            <a:ext uri="{FF2B5EF4-FFF2-40B4-BE49-F238E27FC236}">
              <a16:creationId xmlns:a16="http://schemas.microsoft.com/office/drawing/2014/main" id="{00000000-0008-0000-0000-000011000000}"/>
            </a:ext>
          </a:extLst>
        </xdr:cNvPr>
        <xdr:cNvSpPr txBox="1"/>
      </xdr:nvSpPr>
      <xdr:spPr>
        <a:xfrm>
          <a:off x="542925" y="2667001"/>
          <a:ext cx="3657600" cy="238124"/>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xdr:from>
      <xdr:col>8</xdr:col>
      <xdr:colOff>0</xdr:colOff>
      <xdr:row>14</xdr:row>
      <xdr:rowOff>1</xdr:rowOff>
    </xdr:from>
    <xdr:to>
      <xdr:col>14</xdr:col>
      <xdr:colOff>0</xdr:colOff>
      <xdr:row>15</xdr:row>
      <xdr:rowOff>1</xdr:rowOff>
    </xdr:to>
    <xdr:sp macro="[0]!Ir_TabelaIRINSS" textlink="">
      <xdr:nvSpPr>
        <xdr:cNvPr id="19" name="CaixaDeTexto 18">
          <a:extLst>
            <a:ext uri="{FF2B5EF4-FFF2-40B4-BE49-F238E27FC236}">
              <a16:creationId xmlns:a16="http://schemas.microsoft.com/office/drawing/2014/main" id="{00000000-0008-0000-0000-000013000000}"/>
            </a:ext>
          </a:extLst>
        </xdr:cNvPr>
        <xdr:cNvSpPr txBox="1"/>
      </xdr:nvSpPr>
      <xdr:spPr>
        <a:xfrm>
          <a:off x="542925" y="2667001"/>
          <a:ext cx="3657600" cy="238125"/>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TABELA DO "IRRF" E "INSS" E "CÁLCULO DAS RETENÇÕES"</a:t>
          </a:r>
        </a:p>
      </xdr:txBody>
    </xdr:sp>
    <xdr:clientData/>
  </xdr:twoCellAnchor>
  <xdr:twoCellAnchor>
    <xdr:from>
      <xdr:col>8</xdr:col>
      <xdr:colOff>0</xdr:colOff>
      <xdr:row>17</xdr:row>
      <xdr:rowOff>112060</xdr:rowOff>
    </xdr:from>
    <xdr:to>
      <xdr:col>14</xdr:col>
      <xdr:colOff>0</xdr:colOff>
      <xdr:row>19</xdr:row>
      <xdr:rowOff>0</xdr:rowOff>
    </xdr:to>
    <xdr:sp macro="[0]!AbrirTD" textlink="">
      <xdr:nvSpPr>
        <xdr:cNvPr id="20" name="CaixaDeTexto 19">
          <a:extLst>
            <a:ext uri="{FF2B5EF4-FFF2-40B4-BE49-F238E27FC236}">
              <a16:creationId xmlns:a16="http://schemas.microsoft.com/office/drawing/2014/main" id="{00000000-0008-0000-0000-000014000000}"/>
            </a:ext>
          </a:extLst>
        </xdr:cNvPr>
        <xdr:cNvSpPr txBox="1"/>
      </xdr:nvSpPr>
      <xdr:spPr>
        <a:xfrm>
          <a:off x="4168588" y="3630707"/>
          <a:ext cx="3630706" cy="268940"/>
        </a:xfrm>
        <a:prstGeom prst="rect">
          <a:avLst/>
        </a:prstGeom>
        <a:solidFill>
          <a:srgbClr val="FFFF66"/>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RELATÓRIOS</a:t>
          </a:r>
          <a:r>
            <a:rPr lang="pt-BR" sz="1100" b="1" baseline="0"/>
            <a:t> DE RECIBOS EMITIDOS</a:t>
          </a:r>
          <a:endParaRPr lang="pt-BR" sz="1100" b="1"/>
        </a:p>
      </xdr:txBody>
    </xdr:sp>
    <xdr:clientData/>
  </xdr:twoCellAnchor>
  <xdr:twoCellAnchor>
    <xdr:from>
      <xdr:col>8</xdr:col>
      <xdr:colOff>0</xdr:colOff>
      <xdr:row>16</xdr:row>
      <xdr:rowOff>1</xdr:rowOff>
    </xdr:from>
    <xdr:to>
      <xdr:col>14</xdr:col>
      <xdr:colOff>0</xdr:colOff>
      <xdr:row>17</xdr:row>
      <xdr:rowOff>0</xdr:rowOff>
    </xdr:to>
    <xdr:sp macro="[0]!Ir_RPAsRegistrados" textlink="">
      <xdr:nvSpPr>
        <xdr:cNvPr id="21" name="CaixaDeTexto 20">
          <a:extLst>
            <a:ext uri="{FF2B5EF4-FFF2-40B4-BE49-F238E27FC236}">
              <a16:creationId xmlns:a16="http://schemas.microsoft.com/office/drawing/2014/main" id="{00000000-0008-0000-0000-000015000000}"/>
            </a:ext>
          </a:extLst>
        </xdr:cNvPr>
        <xdr:cNvSpPr txBox="1"/>
      </xdr:nvSpPr>
      <xdr:spPr>
        <a:xfrm>
          <a:off x="4168588" y="3249707"/>
          <a:ext cx="3630706" cy="268940"/>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RECIBOS EMITIDOS</a:t>
          </a:r>
        </a:p>
      </xdr:txBody>
    </xdr:sp>
    <xdr:clientData/>
  </xdr:twoCellAnchor>
  <xdr:twoCellAnchor>
    <xdr:from>
      <xdr:col>6</xdr:col>
      <xdr:colOff>371476</xdr:colOff>
      <xdr:row>0</xdr:row>
      <xdr:rowOff>152401</xdr:rowOff>
    </xdr:from>
    <xdr:to>
      <xdr:col>15</xdr:col>
      <xdr:colOff>276226</xdr:colOff>
      <xdr:row>3</xdr:row>
      <xdr:rowOff>76200</xdr:rowOff>
    </xdr:to>
    <xdr:sp macro="" textlink="">
      <xdr:nvSpPr>
        <xdr:cNvPr id="5" name="CaixaDeTexto 4">
          <a:extLst>
            <a:ext uri="{FF2B5EF4-FFF2-40B4-BE49-F238E27FC236}">
              <a16:creationId xmlns:a16="http://schemas.microsoft.com/office/drawing/2014/main" id="{00000000-0008-0000-0000-000005000000}"/>
            </a:ext>
          </a:extLst>
        </xdr:cNvPr>
        <xdr:cNvSpPr txBox="1"/>
      </xdr:nvSpPr>
      <xdr:spPr>
        <a:xfrm>
          <a:off x="3638551" y="152401"/>
          <a:ext cx="4800600" cy="638174"/>
        </a:xfrm>
        <a:prstGeom prst="rect">
          <a:avLst/>
        </a:prstGeom>
        <a:noFill/>
        <a:ln w="9525" cmpd="sng">
          <a:noFill/>
        </a:ln>
        <a:effectLst>
          <a:softEdge rad="1270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b="1">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rPr>
            <a:t>PROGRAMA DE EMISSÃO DE</a:t>
          </a:r>
        </a:p>
        <a:p>
          <a:pPr algn="ctr"/>
          <a:r>
            <a:rPr lang="pt-BR" sz="1600" b="1">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rPr>
            <a:t>RECIBO DE PAGAMENTO</a:t>
          </a:r>
          <a:r>
            <a:rPr lang="pt-BR" sz="1600" b="1" baseline="0">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rPr>
            <a:t> A AUTÔNOMOS - R</a:t>
          </a:r>
          <a:r>
            <a:rPr lang="pt-BR" sz="1600" b="1">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rPr>
            <a:t>PA</a:t>
          </a:r>
        </a:p>
      </xdr:txBody>
    </xdr:sp>
    <xdr:clientData/>
  </xdr:twoCellAnchor>
  <xdr:twoCellAnchor>
    <xdr:from>
      <xdr:col>17</xdr:col>
      <xdr:colOff>447675</xdr:colOff>
      <xdr:row>9</xdr:row>
      <xdr:rowOff>103094</xdr:rowOff>
    </xdr:from>
    <xdr:to>
      <xdr:col>19</xdr:col>
      <xdr:colOff>209550</xdr:colOff>
      <xdr:row>10</xdr:row>
      <xdr:rowOff>255494</xdr:rowOff>
    </xdr:to>
    <xdr:sp macro="[0]!LinkPlanilhacessivel" textlink="">
      <xdr:nvSpPr>
        <xdr:cNvPr id="22" name="BotaoSaibaMais" hidden="1">
          <a:extLst>
            <a:ext uri="{FF2B5EF4-FFF2-40B4-BE49-F238E27FC236}">
              <a16:creationId xmlns:a16="http://schemas.microsoft.com/office/drawing/2014/main" id="{00000000-0008-0000-0000-000016000000}"/>
            </a:ext>
          </a:extLst>
        </xdr:cNvPr>
        <xdr:cNvSpPr txBox="1"/>
      </xdr:nvSpPr>
      <xdr:spPr>
        <a:xfrm>
          <a:off x="9770969" y="2097741"/>
          <a:ext cx="972110" cy="264459"/>
        </a:xfrm>
        <a:prstGeom prst="rect">
          <a:avLst/>
        </a:prstGeom>
        <a:solidFill>
          <a:schemeClr val="tx2"/>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chemeClr val="bg1"/>
              </a:solidFill>
            </a:rPr>
            <a:t>Saiba mais</a:t>
          </a:r>
        </a:p>
      </xdr:txBody>
    </xdr:sp>
    <xdr:clientData/>
  </xdr:twoCellAnchor>
  <xdr:twoCellAnchor>
    <xdr:from>
      <xdr:col>8</xdr:col>
      <xdr:colOff>0</xdr:colOff>
      <xdr:row>4</xdr:row>
      <xdr:rowOff>1</xdr:rowOff>
    </xdr:from>
    <xdr:to>
      <xdr:col>14</xdr:col>
      <xdr:colOff>0</xdr:colOff>
      <xdr:row>5</xdr:row>
      <xdr:rowOff>0</xdr:rowOff>
    </xdr:to>
    <xdr:sp macro="[0]!Ir_TiposServicos" textlink="">
      <xdr:nvSpPr>
        <xdr:cNvPr id="18" name="CaixaDeTexto 17">
          <a:extLst>
            <a:ext uri="{FF2B5EF4-FFF2-40B4-BE49-F238E27FC236}">
              <a16:creationId xmlns:a16="http://schemas.microsoft.com/office/drawing/2014/main" id="{00000000-0008-0000-0000-000012000000}"/>
            </a:ext>
          </a:extLst>
        </xdr:cNvPr>
        <xdr:cNvSpPr txBox="1"/>
      </xdr:nvSpPr>
      <xdr:spPr>
        <a:xfrm>
          <a:off x="4168588" y="1456766"/>
          <a:ext cx="3630706" cy="268940"/>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CADASTRO DOS TIPOS DE</a:t>
          </a:r>
          <a:r>
            <a:rPr lang="pt-BR" sz="1100" b="1" baseline="0"/>
            <a:t> SERVIÇOS</a:t>
          </a:r>
          <a:endParaRPr lang="pt-BR" sz="1100" b="1"/>
        </a:p>
      </xdr:txBody>
    </xdr:sp>
    <xdr:clientData/>
  </xdr:twoCellAnchor>
  <xdr:twoCellAnchor>
    <xdr:from>
      <xdr:col>7</xdr:col>
      <xdr:colOff>0</xdr:colOff>
      <xdr:row>5</xdr:row>
      <xdr:rowOff>0</xdr:rowOff>
    </xdr:from>
    <xdr:to>
      <xdr:col>8</xdr:col>
      <xdr:colOff>0</xdr:colOff>
      <xdr:row>5</xdr:row>
      <xdr:rowOff>1</xdr:rowOff>
    </xdr:to>
    <xdr:sp macro="" textlink="">
      <xdr:nvSpPr>
        <xdr:cNvPr id="23" name="CaixaDeTexto 22">
          <a:extLst>
            <a:ext uri="{FF2B5EF4-FFF2-40B4-BE49-F238E27FC236}">
              <a16:creationId xmlns:a16="http://schemas.microsoft.com/office/drawing/2014/main" id="{00000000-0008-0000-0000-000017000000}"/>
            </a:ext>
          </a:extLst>
        </xdr:cNvPr>
        <xdr:cNvSpPr txBox="1"/>
      </xdr:nvSpPr>
      <xdr:spPr>
        <a:xfrm>
          <a:off x="3854824" y="1725706"/>
          <a:ext cx="313764" cy="1"/>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xdr:from>
      <xdr:col>7</xdr:col>
      <xdr:colOff>0</xdr:colOff>
      <xdr:row>5</xdr:row>
      <xdr:rowOff>0</xdr:rowOff>
    </xdr:from>
    <xdr:to>
      <xdr:col>8</xdr:col>
      <xdr:colOff>0</xdr:colOff>
      <xdr:row>5</xdr:row>
      <xdr:rowOff>1</xdr:rowOff>
    </xdr:to>
    <xdr:sp macro="" textlink="">
      <xdr:nvSpPr>
        <xdr:cNvPr id="24" name="CaixaDeTexto 23">
          <a:hlinkClick xmlns:r="http://schemas.openxmlformats.org/officeDocument/2006/relationships" r:id="rId1"/>
          <a:extLst>
            <a:ext uri="{FF2B5EF4-FFF2-40B4-BE49-F238E27FC236}">
              <a16:creationId xmlns:a16="http://schemas.microsoft.com/office/drawing/2014/main" id="{00000000-0008-0000-0000-000018000000}"/>
            </a:ext>
          </a:extLst>
        </xdr:cNvPr>
        <xdr:cNvSpPr txBox="1"/>
      </xdr:nvSpPr>
      <xdr:spPr>
        <a:xfrm>
          <a:off x="3854824" y="1725706"/>
          <a:ext cx="313764" cy="1"/>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xdr:from>
      <xdr:col>12</xdr:col>
      <xdr:colOff>9525</xdr:colOff>
      <xdr:row>19</xdr:row>
      <xdr:rowOff>121585</xdr:rowOff>
    </xdr:from>
    <xdr:to>
      <xdr:col>13</xdr:col>
      <xdr:colOff>600075</xdr:colOff>
      <xdr:row>21</xdr:row>
      <xdr:rowOff>9525</xdr:rowOff>
    </xdr:to>
    <xdr:sp macro="[0]!ChamarFormSenha" textlink="">
      <xdr:nvSpPr>
        <xdr:cNvPr id="25" name="CaixaDeTexto 24">
          <a:extLst>
            <a:ext uri="{FF2B5EF4-FFF2-40B4-BE49-F238E27FC236}">
              <a16:creationId xmlns:a16="http://schemas.microsoft.com/office/drawing/2014/main" id="{00000000-0008-0000-0000-000019000000}"/>
            </a:ext>
          </a:extLst>
        </xdr:cNvPr>
        <xdr:cNvSpPr txBox="1"/>
      </xdr:nvSpPr>
      <xdr:spPr>
        <a:xfrm>
          <a:off x="6638925" y="4017310"/>
          <a:ext cx="1200150" cy="268940"/>
        </a:xfrm>
        <a:prstGeom prst="rect">
          <a:avLst/>
        </a:prstGeom>
        <a:solidFill>
          <a:schemeClr val="accent2">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ALTERAR SENHA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38101</xdr:colOff>
      <xdr:row>1</xdr:row>
      <xdr:rowOff>85727</xdr:rowOff>
    </xdr:from>
    <xdr:to>
      <xdr:col>0</xdr:col>
      <xdr:colOff>266700</xdr:colOff>
      <xdr:row>1</xdr:row>
      <xdr:rowOff>304801</xdr:rowOff>
    </xdr:to>
    <xdr:sp macro="[0]!Ir_Menu" textlink="">
      <xdr:nvSpPr>
        <xdr:cNvPr id="2" name="Seta: para a Esquerda 1">
          <a:extLst>
            <a:ext uri="{FF2B5EF4-FFF2-40B4-BE49-F238E27FC236}">
              <a16:creationId xmlns:a16="http://schemas.microsoft.com/office/drawing/2014/main" id="{00000000-0008-0000-0100-000002000000}"/>
            </a:ext>
          </a:extLst>
        </xdr:cNvPr>
        <xdr:cNvSpPr/>
      </xdr:nvSpPr>
      <xdr:spPr>
        <a:xfrm>
          <a:off x="38101" y="142877"/>
          <a:ext cx="228599" cy="219074"/>
        </a:xfrm>
        <a:prstGeom prst="leftArrow">
          <a:avLst/>
        </a:prstGeom>
        <a:solidFill>
          <a:schemeClr val="accent4">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38101</xdr:colOff>
      <xdr:row>1</xdr:row>
      <xdr:rowOff>85727</xdr:rowOff>
    </xdr:from>
    <xdr:to>
      <xdr:col>0</xdr:col>
      <xdr:colOff>266700</xdr:colOff>
      <xdr:row>1</xdr:row>
      <xdr:rowOff>304801</xdr:rowOff>
    </xdr:to>
    <xdr:sp macro="[0]!Ir_Menu" textlink="">
      <xdr:nvSpPr>
        <xdr:cNvPr id="3" name="Seta: para a Esquerda 2">
          <a:extLst>
            <a:ext uri="{FF2B5EF4-FFF2-40B4-BE49-F238E27FC236}">
              <a16:creationId xmlns:a16="http://schemas.microsoft.com/office/drawing/2014/main" id="{00000000-0008-0000-0200-000003000000}"/>
            </a:ext>
          </a:extLst>
        </xdr:cNvPr>
        <xdr:cNvSpPr/>
      </xdr:nvSpPr>
      <xdr:spPr>
        <a:xfrm>
          <a:off x="38101" y="142877"/>
          <a:ext cx="228599" cy="219074"/>
        </a:xfrm>
        <a:prstGeom prst="leftArrow">
          <a:avLst/>
        </a:prstGeom>
        <a:solidFill>
          <a:schemeClr val="accent4">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1</xdr:row>
      <xdr:rowOff>123825</xdr:rowOff>
    </xdr:from>
    <xdr:to>
      <xdr:col>0</xdr:col>
      <xdr:colOff>285749</xdr:colOff>
      <xdr:row>1</xdr:row>
      <xdr:rowOff>342899</xdr:rowOff>
    </xdr:to>
    <xdr:sp macro="[0]!Ir_Menu" textlink="">
      <xdr:nvSpPr>
        <xdr:cNvPr id="4" name="Seta: para a Esquerda 3">
          <a:extLst>
            <a:ext uri="{FF2B5EF4-FFF2-40B4-BE49-F238E27FC236}">
              <a16:creationId xmlns:a16="http://schemas.microsoft.com/office/drawing/2014/main" id="{00000000-0008-0000-0300-000004000000}"/>
            </a:ext>
          </a:extLst>
        </xdr:cNvPr>
        <xdr:cNvSpPr/>
      </xdr:nvSpPr>
      <xdr:spPr>
        <a:xfrm>
          <a:off x="57150" y="171450"/>
          <a:ext cx="228599" cy="219074"/>
        </a:xfrm>
        <a:prstGeom prst="leftArrow">
          <a:avLst/>
        </a:prstGeom>
        <a:solidFill>
          <a:schemeClr val="accent4">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47625</xdr:colOff>
      <xdr:row>1</xdr:row>
      <xdr:rowOff>95250</xdr:rowOff>
    </xdr:from>
    <xdr:to>
      <xdr:col>0</xdr:col>
      <xdr:colOff>276224</xdr:colOff>
      <xdr:row>1</xdr:row>
      <xdr:rowOff>314324</xdr:rowOff>
    </xdr:to>
    <xdr:sp macro="[0]!Ir_Menu" textlink="">
      <xdr:nvSpPr>
        <xdr:cNvPr id="2" name="Seta: para a Esquerda 1">
          <a:extLst>
            <a:ext uri="{FF2B5EF4-FFF2-40B4-BE49-F238E27FC236}">
              <a16:creationId xmlns:a16="http://schemas.microsoft.com/office/drawing/2014/main" id="{00000000-0008-0000-0400-000002000000}"/>
            </a:ext>
          </a:extLst>
        </xdr:cNvPr>
        <xdr:cNvSpPr/>
      </xdr:nvSpPr>
      <xdr:spPr>
        <a:xfrm>
          <a:off x="47625" y="152400"/>
          <a:ext cx="228599" cy="219074"/>
        </a:xfrm>
        <a:prstGeom prst="leftArrow">
          <a:avLst/>
        </a:prstGeom>
        <a:solidFill>
          <a:schemeClr val="accent4">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3</xdr:row>
          <xdr:rowOff>0</xdr:rowOff>
        </xdr:from>
        <xdr:to>
          <xdr:col>71</xdr:col>
          <xdr:colOff>38100</xdr:colOff>
          <xdr:row>16</xdr:row>
          <xdr:rowOff>9525</xdr:rowOff>
        </xdr:to>
        <xdr:sp macro="" textlink="">
          <xdr:nvSpPr>
            <xdr:cNvPr id="16389" name="Group Box 5" hidden="1">
              <a:extLst>
                <a:ext uri="{63B3BB69-23CF-44E3-9099-C40C66FF867C}">
                  <a14:compatExt spid="_x0000_s16389"/>
                </a:ext>
                <a:ext uri="{FF2B5EF4-FFF2-40B4-BE49-F238E27FC236}">
                  <a16:creationId xmlns:a16="http://schemas.microsoft.com/office/drawing/2014/main" id="{00000000-0008-0000-0500-00000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 EMISSÃO DO RECIBO DE PAGAMENTO A AUTÔNOMO - RPA: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67</xdr:col>
          <xdr:colOff>104775</xdr:colOff>
          <xdr:row>4</xdr:row>
          <xdr:rowOff>0</xdr:rowOff>
        </xdr:from>
        <xdr:to>
          <xdr:col>70</xdr:col>
          <xdr:colOff>9525</xdr:colOff>
          <xdr:row>5</xdr:row>
          <xdr:rowOff>9525</xdr:rowOff>
        </xdr:to>
        <xdr:sp macro="" textlink="">
          <xdr:nvSpPr>
            <xdr:cNvPr id="16410" name="SpinButton1" hidden="1">
              <a:extLst>
                <a:ext uri="{63B3BB69-23CF-44E3-9099-C40C66FF867C}">
                  <a14:compatExt spid="_x0000_s16410"/>
                </a:ext>
                <a:ext uri="{FF2B5EF4-FFF2-40B4-BE49-F238E27FC236}">
                  <a16:creationId xmlns:a16="http://schemas.microsoft.com/office/drawing/2014/main" id="{00000000-0008-0000-0500-00001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51</xdr:col>
          <xdr:colOff>66675</xdr:colOff>
          <xdr:row>4</xdr:row>
          <xdr:rowOff>19050</xdr:rowOff>
        </xdr:from>
        <xdr:to>
          <xdr:col>56</xdr:col>
          <xdr:colOff>104775</xdr:colOff>
          <xdr:row>5</xdr:row>
          <xdr:rowOff>0</xdr:rowOff>
        </xdr:to>
        <xdr:sp macro="" textlink="">
          <xdr:nvSpPr>
            <xdr:cNvPr id="16415" name="CheckBoxNovo" hidden="1">
              <a:extLst>
                <a:ext uri="{63B3BB69-23CF-44E3-9099-C40C66FF867C}">
                  <a14:compatExt spid="_x0000_s16415"/>
                </a:ext>
                <a:ext uri="{FF2B5EF4-FFF2-40B4-BE49-F238E27FC236}">
                  <a16:creationId xmlns:a16="http://schemas.microsoft.com/office/drawing/2014/main" id="{00000000-0008-0000-0500-00001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63</xdr:col>
      <xdr:colOff>79561</xdr:colOff>
      <xdr:row>16</xdr:row>
      <xdr:rowOff>114300</xdr:rowOff>
    </xdr:from>
    <xdr:to>
      <xdr:col>69</xdr:col>
      <xdr:colOff>1</xdr:colOff>
      <xdr:row>17</xdr:row>
      <xdr:rowOff>114299</xdr:rowOff>
    </xdr:to>
    <xdr:sp macro="[0]!Limpar" textlink="">
      <xdr:nvSpPr>
        <xdr:cNvPr id="10" name="CaixaDeTexto 9">
          <a:extLst>
            <a:ext uri="{FF2B5EF4-FFF2-40B4-BE49-F238E27FC236}">
              <a16:creationId xmlns:a16="http://schemas.microsoft.com/office/drawing/2014/main" id="{00000000-0008-0000-0500-00000A000000}"/>
            </a:ext>
          </a:extLst>
        </xdr:cNvPr>
        <xdr:cNvSpPr txBox="1"/>
      </xdr:nvSpPr>
      <xdr:spPr>
        <a:xfrm>
          <a:off x="7213786" y="3733800"/>
          <a:ext cx="606240" cy="228599"/>
        </a:xfrm>
        <a:prstGeom prst="rect">
          <a:avLst/>
        </a:prstGeom>
        <a:solidFill>
          <a:schemeClr val="bg1">
            <a:lumMod val="95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pt-BR" sz="1000" b="1"/>
            <a:t>LIMPAR</a:t>
          </a:r>
        </a:p>
      </xdr:txBody>
    </xdr:sp>
    <xdr:clientData fPrintsWithSheet="0"/>
  </xdr:twoCellAnchor>
  <mc:AlternateContent xmlns:mc="http://schemas.openxmlformats.org/markup-compatibility/2006">
    <mc:Choice xmlns:a14="http://schemas.microsoft.com/office/drawing/2010/main" Requires="a14">
      <xdr:twoCellAnchor editAs="oneCell">
        <xdr:from>
          <xdr:col>62</xdr:col>
          <xdr:colOff>104775</xdr:colOff>
          <xdr:row>5</xdr:row>
          <xdr:rowOff>47625</xdr:rowOff>
        </xdr:from>
        <xdr:to>
          <xdr:col>69</xdr:col>
          <xdr:colOff>95250</xdr:colOff>
          <xdr:row>5</xdr:row>
          <xdr:rowOff>228600</xdr:rowOff>
        </xdr:to>
        <xdr:sp macro="" textlink="">
          <xdr:nvSpPr>
            <xdr:cNvPr id="16420" name="CheckBoxCancelar" hidden="1">
              <a:extLst>
                <a:ext uri="{63B3BB69-23CF-44E3-9099-C40C66FF867C}">
                  <a14:compatExt spid="_x0000_s16420"/>
                </a:ext>
                <a:ext uri="{FF2B5EF4-FFF2-40B4-BE49-F238E27FC236}">
                  <a16:creationId xmlns:a16="http://schemas.microsoft.com/office/drawing/2014/main" id="{00000000-0008-0000-0500-00002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38100</xdr:colOff>
          <xdr:row>10</xdr:row>
          <xdr:rowOff>142875</xdr:rowOff>
        </xdr:from>
        <xdr:to>
          <xdr:col>69</xdr:col>
          <xdr:colOff>104775</xdr:colOff>
          <xdr:row>15</xdr:row>
          <xdr:rowOff>95250</xdr:rowOff>
        </xdr:to>
        <xdr:sp macro="" textlink="">
          <xdr:nvSpPr>
            <xdr:cNvPr id="16434" name="Group Box 50" hidden="1">
              <a:extLst>
                <a:ext uri="{63B3BB69-23CF-44E3-9099-C40C66FF867C}">
                  <a14:compatExt spid="_x0000_s16434"/>
                </a:ext>
                <a:ext uri="{FF2B5EF4-FFF2-40B4-BE49-F238E27FC236}">
                  <a16:creationId xmlns:a16="http://schemas.microsoft.com/office/drawing/2014/main" id="{00000000-0008-0000-0500-000032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DADOS DO PRESTADOR DE SERVIÇOS:</a:t>
              </a:r>
            </a:p>
          </xdr:txBody>
        </xdr:sp>
        <xdr:clientData/>
      </xdr:twoCellAnchor>
    </mc:Choice>
    <mc:Fallback/>
  </mc:AlternateContent>
  <xdr:twoCellAnchor editAs="oneCell">
    <xdr:from>
      <xdr:col>97</xdr:col>
      <xdr:colOff>47625</xdr:colOff>
      <xdr:row>16</xdr:row>
      <xdr:rowOff>180975</xdr:rowOff>
    </xdr:from>
    <xdr:to>
      <xdr:col>105</xdr:col>
      <xdr:colOff>9525</xdr:colOff>
      <xdr:row>18</xdr:row>
      <xdr:rowOff>76201</xdr:rowOff>
    </xdr:to>
    <xdr:sp macro="[0]!Ir_CalcIRRF" textlink="">
      <xdr:nvSpPr>
        <xdr:cNvPr id="4" name="Seta: Entalhada para a Direita 3">
          <a:extLst>
            <a:ext uri="{FF2B5EF4-FFF2-40B4-BE49-F238E27FC236}">
              <a16:creationId xmlns:a16="http://schemas.microsoft.com/office/drawing/2014/main" id="{00000000-0008-0000-0500-000004000000}"/>
            </a:ext>
          </a:extLst>
        </xdr:cNvPr>
        <xdr:cNvSpPr/>
      </xdr:nvSpPr>
      <xdr:spPr>
        <a:xfrm>
          <a:off x="11372850" y="4038600"/>
          <a:ext cx="876300" cy="390526"/>
        </a:xfrm>
        <a:prstGeom prst="notchedRightArrow">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900" b="1">
              <a:solidFill>
                <a:schemeClr val="accent1">
                  <a:lumMod val="50000"/>
                </a:schemeClr>
              </a:solidFill>
            </a:rPr>
            <a:t>CÁLCULO</a:t>
          </a:r>
        </a:p>
      </xdr:txBody>
    </xdr:sp>
    <xdr:clientData fPrintsWithSheet="0"/>
  </xdr:twoCellAnchor>
  <xdr:twoCellAnchor>
    <xdr:from>
      <xdr:col>1</xdr:col>
      <xdr:colOff>76200</xdr:colOff>
      <xdr:row>18</xdr:row>
      <xdr:rowOff>57150</xdr:rowOff>
    </xdr:from>
    <xdr:to>
      <xdr:col>3</xdr:col>
      <xdr:colOff>95249</xdr:colOff>
      <xdr:row>19</xdr:row>
      <xdr:rowOff>76199</xdr:rowOff>
    </xdr:to>
    <xdr:sp macro="[0]!Ir_Menu" textlink="">
      <xdr:nvSpPr>
        <xdr:cNvPr id="17" name="Seta: para a Esquerda 16">
          <a:extLst>
            <a:ext uri="{FF2B5EF4-FFF2-40B4-BE49-F238E27FC236}">
              <a16:creationId xmlns:a16="http://schemas.microsoft.com/office/drawing/2014/main" id="{00000000-0008-0000-0500-000011000000}"/>
            </a:ext>
          </a:extLst>
        </xdr:cNvPr>
        <xdr:cNvSpPr/>
      </xdr:nvSpPr>
      <xdr:spPr>
        <a:xfrm>
          <a:off x="447675" y="4171950"/>
          <a:ext cx="228599" cy="219074"/>
        </a:xfrm>
        <a:prstGeom prst="leftArrow">
          <a:avLst/>
        </a:prstGeom>
        <a:solidFill>
          <a:schemeClr val="accent4">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twoCellAnchor>
    <xdr:from>
      <xdr:col>15</xdr:col>
      <xdr:colOff>0</xdr:colOff>
      <xdr:row>5</xdr:row>
      <xdr:rowOff>114301</xdr:rowOff>
    </xdr:from>
    <xdr:to>
      <xdr:col>15</xdr:col>
      <xdr:colOff>76200</xdr:colOff>
      <xdr:row>5</xdr:row>
      <xdr:rowOff>190501</xdr:rowOff>
    </xdr:to>
    <xdr:sp macro="[0]!Ir_CadCidades" textlink="">
      <xdr:nvSpPr>
        <xdr:cNvPr id="18" name="CaixaDeTexto 17">
          <a:extLst>
            <a:ext uri="{FF2B5EF4-FFF2-40B4-BE49-F238E27FC236}">
              <a16:creationId xmlns:a16="http://schemas.microsoft.com/office/drawing/2014/main" id="{00000000-0008-0000-0500-000012000000}"/>
            </a:ext>
          </a:extLst>
        </xdr:cNvPr>
        <xdr:cNvSpPr txBox="1"/>
      </xdr:nvSpPr>
      <xdr:spPr>
        <a:xfrm>
          <a:off x="1952625" y="923926"/>
          <a:ext cx="76200" cy="76200"/>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pt-BR" sz="1100" b="1"/>
        </a:p>
      </xdr:txBody>
    </xdr:sp>
    <xdr:clientData/>
  </xdr:twoCellAnchor>
  <xdr:twoCellAnchor>
    <xdr:from>
      <xdr:col>15</xdr:col>
      <xdr:colOff>0</xdr:colOff>
      <xdr:row>6</xdr:row>
      <xdr:rowOff>114301</xdr:rowOff>
    </xdr:from>
    <xdr:to>
      <xdr:col>15</xdr:col>
      <xdr:colOff>76200</xdr:colOff>
      <xdr:row>6</xdr:row>
      <xdr:rowOff>190501</xdr:rowOff>
    </xdr:to>
    <xdr:sp macro="[0]!Ir_CadTomadores" textlink="">
      <xdr:nvSpPr>
        <xdr:cNvPr id="20" name="CaixaDeTexto 19">
          <a:extLst>
            <a:ext uri="{FF2B5EF4-FFF2-40B4-BE49-F238E27FC236}">
              <a16:creationId xmlns:a16="http://schemas.microsoft.com/office/drawing/2014/main" id="{00000000-0008-0000-0500-000014000000}"/>
            </a:ext>
          </a:extLst>
        </xdr:cNvPr>
        <xdr:cNvSpPr txBox="1"/>
      </xdr:nvSpPr>
      <xdr:spPr>
        <a:xfrm>
          <a:off x="1952625" y="1190626"/>
          <a:ext cx="76200" cy="76200"/>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pt-BR" sz="1100" b="1"/>
        </a:p>
      </xdr:txBody>
    </xdr:sp>
    <xdr:clientData/>
  </xdr:twoCellAnchor>
  <xdr:twoCellAnchor>
    <xdr:from>
      <xdr:col>15</xdr:col>
      <xdr:colOff>0</xdr:colOff>
      <xdr:row>7</xdr:row>
      <xdr:rowOff>104776</xdr:rowOff>
    </xdr:from>
    <xdr:to>
      <xdr:col>15</xdr:col>
      <xdr:colOff>76200</xdr:colOff>
      <xdr:row>7</xdr:row>
      <xdr:rowOff>180976</xdr:rowOff>
    </xdr:to>
    <xdr:sp macro="[0]!Ir_CadPrestadores" textlink="">
      <xdr:nvSpPr>
        <xdr:cNvPr id="21" name="CaixaDeTexto 20">
          <a:extLst>
            <a:ext uri="{FF2B5EF4-FFF2-40B4-BE49-F238E27FC236}">
              <a16:creationId xmlns:a16="http://schemas.microsoft.com/office/drawing/2014/main" id="{00000000-0008-0000-0500-000015000000}"/>
            </a:ext>
          </a:extLst>
        </xdr:cNvPr>
        <xdr:cNvSpPr txBox="1"/>
      </xdr:nvSpPr>
      <xdr:spPr>
        <a:xfrm>
          <a:off x="1952625" y="1447801"/>
          <a:ext cx="76200" cy="76200"/>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pt-BR" sz="1100" b="1"/>
        </a:p>
      </xdr:txBody>
    </xdr:sp>
    <xdr:clientData/>
  </xdr:twoCellAnchor>
  <xdr:twoCellAnchor editAs="oneCell">
    <xdr:from>
      <xdr:col>1</xdr:col>
      <xdr:colOff>0</xdr:colOff>
      <xdr:row>16</xdr:row>
      <xdr:rowOff>85725</xdr:rowOff>
    </xdr:from>
    <xdr:to>
      <xdr:col>5</xdr:col>
      <xdr:colOff>0</xdr:colOff>
      <xdr:row>18</xdr:row>
      <xdr:rowOff>28576</xdr:rowOff>
    </xdr:to>
    <xdr:pic macro="[0]!ImprimirDadosRPA">
      <xdr:nvPicPr>
        <xdr:cNvPr id="24" name="Imagem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71475" y="4067175"/>
          <a:ext cx="438150" cy="438150"/>
        </a:xfrm>
        <a:prstGeom prst="rect">
          <a:avLst/>
        </a:prstGeom>
      </xdr:spPr>
    </xdr:pic>
    <xdr:clientData fPrintsWithSheet="0"/>
  </xdr:twoCellAnchor>
  <xdr:twoCellAnchor editAs="oneCell">
    <xdr:from>
      <xdr:col>79</xdr:col>
      <xdr:colOff>114299</xdr:colOff>
      <xdr:row>16</xdr:row>
      <xdr:rowOff>104775</xdr:rowOff>
    </xdr:from>
    <xdr:to>
      <xdr:col>85</xdr:col>
      <xdr:colOff>85724</xdr:colOff>
      <xdr:row>19</xdr:row>
      <xdr:rowOff>142876</xdr:rowOff>
    </xdr:to>
    <xdr:grpSp>
      <xdr:nvGrpSpPr>
        <xdr:cNvPr id="7" name="Agrupar 6">
          <a:extLst>
            <a:ext uri="{FF2B5EF4-FFF2-40B4-BE49-F238E27FC236}">
              <a16:creationId xmlns:a16="http://schemas.microsoft.com/office/drawing/2014/main" id="{00000000-0008-0000-0500-000007000000}"/>
            </a:ext>
          </a:extLst>
        </xdr:cNvPr>
        <xdr:cNvGrpSpPr/>
      </xdr:nvGrpSpPr>
      <xdr:grpSpPr>
        <a:xfrm>
          <a:off x="9077324" y="3724275"/>
          <a:ext cx="657225" cy="733426"/>
          <a:chOff x="9963149" y="3762375"/>
          <a:chExt cx="657225" cy="733425"/>
        </a:xfrm>
      </xdr:grpSpPr>
      <xdr:pic macro="[0]!Ir_ReciboRPA">
        <xdr:nvPicPr>
          <xdr:cNvPr id="22" name="Imagem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63149" y="3762375"/>
            <a:ext cx="657225" cy="657225"/>
          </a:xfrm>
          <a:prstGeom prst="rect">
            <a:avLst/>
          </a:prstGeom>
        </xdr:spPr>
      </xdr:pic>
      <xdr:sp macro="[0]!Ir_ReciboRPA" textlink="">
        <xdr:nvSpPr>
          <xdr:cNvPr id="2" name="CaixaDeTexto 1">
            <a:extLst>
              <a:ext uri="{FF2B5EF4-FFF2-40B4-BE49-F238E27FC236}">
                <a16:creationId xmlns:a16="http://schemas.microsoft.com/office/drawing/2014/main" id="{00000000-0008-0000-0500-000002000000}"/>
              </a:ext>
            </a:extLst>
          </xdr:cNvPr>
          <xdr:cNvSpPr txBox="1"/>
        </xdr:nvSpPr>
        <xdr:spPr>
          <a:xfrm>
            <a:off x="9991725" y="4335066"/>
            <a:ext cx="581025" cy="160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a:solidFill>
                  <a:schemeClr val="accent1">
                    <a:lumMod val="50000"/>
                  </a:schemeClr>
                </a:solidFill>
                <a:effectLst>
                  <a:glow rad="127000">
                    <a:schemeClr val="accent1">
                      <a:lumMod val="60000"/>
                      <a:lumOff val="40000"/>
                    </a:schemeClr>
                  </a:glow>
                </a:effectLst>
              </a:rPr>
              <a:t>Recibo</a:t>
            </a:r>
          </a:p>
        </xdr:txBody>
      </xdr:sp>
    </xdr:grpSp>
    <xdr:clientData fPrintsWithSheet="0"/>
  </xdr:twoCellAnchor>
  <xdr:twoCellAnchor editAs="oneCell">
    <xdr:from>
      <xdr:col>72</xdr:col>
      <xdr:colOff>33110</xdr:colOff>
      <xdr:row>16</xdr:row>
      <xdr:rowOff>104775</xdr:rowOff>
    </xdr:from>
    <xdr:to>
      <xdr:col>79</xdr:col>
      <xdr:colOff>57150</xdr:colOff>
      <xdr:row>19</xdr:row>
      <xdr:rowOff>161926</xdr:rowOff>
    </xdr:to>
    <xdr:grpSp>
      <xdr:nvGrpSpPr>
        <xdr:cNvPr id="9" name="Agrupar 8">
          <a:extLst>
            <a:ext uri="{FF2B5EF4-FFF2-40B4-BE49-F238E27FC236}">
              <a16:creationId xmlns:a16="http://schemas.microsoft.com/office/drawing/2014/main" id="{00000000-0008-0000-0500-000009000000}"/>
            </a:ext>
          </a:extLst>
        </xdr:cNvPr>
        <xdr:cNvGrpSpPr>
          <a:grpSpLocks noChangeAspect="1"/>
        </xdr:cNvGrpSpPr>
      </xdr:nvGrpSpPr>
      <xdr:grpSpPr>
        <a:xfrm>
          <a:off x="8196035" y="3724275"/>
          <a:ext cx="824140" cy="752476"/>
          <a:chOff x="8610600" y="3781425"/>
          <a:chExt cx="733425" cy="685801"/>
        </a:xfrm>
      </xdr:grpSpPr>
      <xdr:pic macro="[0]!RegistrarRPA">
        <xdr:nvPicPr>
          <xdr:cNvPr id="5" name="Imagem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67749" y="3781425"/>
            <a:ext cx="619126" cy="619126"/>
          </a:xfrm>
          <a:prstGeom prst="rect">
            <a:avLst/>
          </a:prstGeom>
        </xdr:spPr>
      </xdr:pic>
      <xdr:sp macro="[0]!RegistrarRPA" textlink="">
        <xdr:nvSpPr>
          <xdr:cNvPr id="19" name="CaixaDeTexto 18">
            <a:extLst>
              <a:ext uri="{FF2B5EF4-FFF2-40B4-BE49-F238E27FC236}">
                <a16:creationId xmlns:a16="http://schemas.microsoft.com/office/drawing/2014/main" id="{00000000-0008-0000-0500-000013000000}"/>
              </a:ext>
            </a:extLst>
          </xdr:cNvPr>
          <xdr:cNvSpPr txBox="1"/>
        </xdr:nvSpPr>
        <xdr:spPr>
          <a:xfrm>
            <a:off x="8610600" y="4286250"/>
            <a:ext cx="73342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a:solidFill>
                  <a:schemeClr val="tx2">
                    <a:lumMod val="75000"/>
                  </a:schemeClr>
                </a:solidFill>
                <a:effectLst>
                  <a:glow rad="127000">
                    <a:schemeClr val="accent2">
                      <a:lumMod val="40000"/>
                      <a:lumOff val="60000"/>
                    </a:schemeClr>
                  </a:glow>
                </a:effectLst>
              </a:rPr>
              <a:t>Registrar</a:t>
            </a:r>
          </a:p>
        </xdr:txBody>
      </xdr:sp>
    </xdr:grpSp>
    <xdr:clientData/>
  </xdr:twoCellAnchor>
  <xdr:twoCellAnchor>
    <xdr:from>
      <xdr:col>87</xdr:col>
      <xdr:colOff>57150</xdr:colOff>
      <xdr:row>17</xdr:row>
      <xdr:rowOff>19051</xdr:rowOff>
    </xdr:from>
    <xdr:to>
      <xdr:col>94</xdr:col>
      <xdr:colOff>19050</xdr:colOff>
      <xdr:row>18</xdr:row>
      <xdr:rowOff>57151</xdr:rowOff>
    </xdr:to>
    <xdr:sp macro="[0]!AbrirTD" textlink="">
      <xdr:nvSpPr>
        <xdr:cNvPr id="3" name="CaixaDeTexto 2">
          <a:extLst>
            <a:ext uri="{FF2B5EF4-FFF2-40B4-BE49-F238E27FC236}">
              <a16:creationId xmlns:a16="http://schemas.microsoft.com/office/drawing/2014/main" id="{00000000-0008-0000-0500-000003000000}"/>
            </a:ext>
          </a:extLst>
        </xdr:cNvPr>
        <xdr:cNvSpPr txBox="1"/>
      </xdr:nvSpPr>
      <xdr:spPr>
        <a:xfrm>
          <a:off x="10239375" y="3867151"/>
          <a:ext cx="762000" cy="304800"/>
        </a:xfrm>
        <a:prstGeom prst="rect">
          <a:avLst/>
        </a:prstGeom>
        <a:solidFill>
          <a:srgbClr val="FFFF00"/>
        </a:solidFill>
        <a:ln w="9525" cmpd="sng">
          <a:solidFill>
            <a:schemeClr val="tx1">
              <a:lumMod val="85000"/>
              <a:lumOff val="15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Relatório</a:t>
          </a:r>
        </a:p>
      </xdr:txBody>
    </xdr:sp>
    <xdr:clientData/>
  </xdr:twoCellAnchor>
  <xdr:twoCellAnchor>
    <xdr:from>
      <xdr:col>70</xdr:col>
      <xdr:colOff>38101</xdr:colOff>
      <xdr:row>4</xdr:row>
      <xdr:rowOff>9525</xdr:rowOff>
    </xdr:from>
    <xdr:to>
      <xdr:col>71</xdr:col>
      <xdr:colOff>1</xdr:colOff>
      <xdr:row>4</xdr:row>
      <xdr:rowOff>95250</xdr:rowOff>
    </xdr:to>
    <xdr:sp macro="[0]!AtivarChange" textlink="">
      <xdr:nvSpPr>
        <xdr:cNvPr id="6" name="CaixaDeTexto 5">
          <a:extLst>
            <a:ext uri="{FF2B5EF4-FFF2-40B4-BE49-F238E27FC236}">
              <a16:creationId xmlns:a16="http://schemas.microsoft.com/office/drawing/2014/main" id="{00000000-0008-0000-0500-000006000000}"/>
            </a:ext>
          </a:extLst>
        </xdr:cNvPr>
        <xdr:cNvSpPr txBox="1"/>
      </xdr:nvSpPr>
      <xdr:spPr>
        <a:xfrm>
          <a:off x="8277226" y="666750"/>
          <a:ext cx="76200" cy="8572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mc:AlternateContent xmlns:mc="http://schemas.openxmlformats.org/markup-compatibility/2006">
    <mc:Choice xmlns:a14="http://schemas.microsoft.com/office/drawing/2010/main" Requires="a14">
      <xdr:twoCellAnchor editAs="oneCell">
        <xdr:from>
          <xdr:col>7</xdr:col>
          <xdr:colOff>9525</xdr:colOff>
          <xdr:row>16</xdr:row>
          <xdr:rowOff>47625</xdr:rowOff>
        </xdr:from>
        <xdr:to>
          <xdr:col>30</xdr:col>
          <xdr:colOff>85725</xdr:colOff>
          <xdr:row>17</xdr:row>
          <xdr:rowOff>28575</xdr:rowOff>
        </xdr:to>
        <xdr:sp macro="" textlink="">
          <xdr:nvSpPr>
            <xdr:cNvPr id="16501" name="MostrarMsgRegistro" hidden="1">
              <a:extLst>
                <a:ext uri="{63B3BB69-23CF-44E3-9099-C40C66FF867C}">
                  <a14:compatExt spid="_x0000_s16501"/>
                </a:ext>
                <a:ext uri="{FF2B5EF4-FFF2-40B4-BE49-F238E27FC236}">
                  <a16:creationId xmlns:a16="http://schemas.microsoft.com/office/drawing/2014/main" id="{00000000-0008-0000-0500-00007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66675</xdr:colOff>
          <xdr:row>16</xdr:row>
          <xdr:rowOff>47625</xdr:rowOff>
        </xdr:from>
        <xdr:to>
          <xdr:col>61</xdr:col>
          <xdr:colOff>38100</xdr:colOff>
          <xdr:row>17</xdr:row>
          <xdr:rowOff>38100</xdr:rowOff>
        </xdr:to>
        <xdr:sp macro="" textlink="">
          <xdr:nvSpPr>
            <xdr:cNvPr id="16502" name="MostrarMsgImpressao" hidden="1">
              <a:extLst>
                <a:ext uri="{63B3BB69-23CF-44E3-9099-C40C66FF867C}">
                  <a14:compatExt spid="_x0000_s16502"/>
                </a:ext>
                <a:ext uri="{FF2B5EF4-FFF2-40B4-BE49-F238E27FC236}">
                  <a16:creationId xmlns:a16="http://schemas.microsoft.com/office/drawing/2014/main" id="{00000000-0008-0000-0500-00007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55836</xdr:colOff>
      <xdr:row>2</xdr:row>
      <xdr:rowOff>47625</xdr:rowOff>
    </xdr:from>
    <xdr:to>
      <xdr:col>21</xdr:col>
      <xdr:colOff>72259</xdr:colOff>
      <xdr:row>4</xdr:row>
      <xdr:rowOff>329</xdr:rowOff>
    </xdr:to>
    <xdr:sp macro="" textlink="">
      <xdr:nvSpPr>
        <xdr:cNvPr id="4" name="CaixaDeTexto 3">
          <a:extLst>
            <a:ext uri="{FF2B5EF4-FFF2-40B4-BE49-F238E27FC236}">
              <a16:creationId xmlns:a16="http://schemas.microsoft.com/office/drawing/2014/main" id="{00000000-0008-0000-0600-000004000000}"/>
            </a:ext>
          </a:extLst>
        </xdr:cNvPr>
        <xdr:cNvSpPr txBox="1"/>
      </xdr:nvSpPr>
      <xdr:spPr>
        <a:xfrm>
          <a:off x="1060888" y="172435"/>
          <a:ext cx="1691509" cy="1629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Empresa</a:t>
          </a:r>
          <a:r>
            <a:rPr lang="pt-BR" sz="800" baseline="0"/>
            <a:t> Tomadora dos Serviços:</a:t>
          </a:r>
          <a:endParaRPr lang="pt-BR" sz="800"/>
        </a:p>
      </xdr:txBody>
    </xdr:sp>
    <xdr:clientData/>
  </xdr:twoCellAnchor>
  <xdr:twoCellAnchor>
    <xdr:from>
      <xdr:col>35</xdr:col>
      <xdr:colOff>6242</xdr:colOff>
      <xdr:row>2</xdr:row>
      <xdr:rowOff>77513</xdr:rowOff>
    </xdr:from>
    <xdr:to>
      <xdr:col>45</xdr:col>
      <xdr:colOff>72260</xdr:colOff>
      <xdr:row>3</xdr:row>
      <xdr:rowOff>52552</xdr:rowOff>
    </xdr:to>
    <xdr:sp macro="" textlink="">
      <xdr:nvSpPr>
        <xdr:cNvPr id="11" name="CaixaDeTexto 10">
          <a:extLst>
            <a:ext uri="{FF2B5EF4-FFF2-40B4-BE49-F238E27FC236}">
              <a16:creationId xmlns:a16="http://schemas.microsoft.com/office/drawing/2014/main" id="{00000000-0008-0000-0600-00000B000000}"/>
            </a:ext>
          </a:extLst>
        </xdr:cNvPr>
        <xdr:cNvSpPr txBox="1"/>
      </xdr:nvSpPr>
      <xdr:spPr>
        <a:xfrm>
          <a:off x="4249794" y="202323"/>
          <a:ext cx="1182742" cy="99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Prestador</a:t>
          </a:r>
          <a:r>
            <a:rPr lang="pt-BR" sz="800" baseline="0"/>
            <a:t> dos Serviços:</a:t>
          </a:r>
          <a:endParaRPr lang="pt-BR" sz="800"/>
        </a:p>
      </xdr:txBody>
    </xdr:sp>
    <xdr:clientData/>
  </xdr:twoCellAnchor>
  <xdr:twoCellAnchor>
    <xdr:from>
      <xdr:col>6</xdr:col>
      <xdr:colOff>79156</xdr:colOff>
      <xdr:row>12</xdr:row>
      <xdr:rowOff>47624</xdr:rowOff>
    </xdr:from>
    <xdr:to>
      <xdr:col>30</xdr:col>
      <xdr:colOff>98534</xdr:colOff>
      <xdr:row>14</xdr:row>
      <xdr:rowOff>0</xdr:rowOff>
    </xdr:to>
    <xdr:sp macro="" textlink="">
      <xdr:nvSpPr>
        <xdr:cNvPr id="12" name="CaixaDeTexto 11">
          <a:extLst>
            <a:ext uri="{FF2B5EF4-FFF2-40B4-BE49-F238E27FC236}">
              <a16:creationId xmlns:a16="http://schemas.microsoft.com/office/drawing/2014/main" id="{00000000-0008-0000-0600-00000C000000}"/>
            </a:ext>
          </a:extLst>
        </xdr:cNvPr>
        <xdr:cNvSpPr txBox="1"/>
      </xdr:nvSpPr>
      <xdr:spPr>
        <a:xfrm>
          <a:off x="1084208" y="1683296"/>
          <a:ext cx="2699516" cy="1560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Dados para o Cálculo do Imposto de Renda Retido na Fonte</a:t>
          </a:r>
          <a:r>
            <a:rPr lang="pt-BR" sz="800" baseline="0"/>
            <a:t>:</a:t>
          </a:r>
          <a:endParaRPr lang="pt-BR" sz="800"/>
        </a:p>
      </xdr:txBody>
    </xdr:sp>
    <xdr:clientData/>
  </xdr:twoCellAnchor>
  <xdr:twoCellAnchor>
    <xdr:from>
      <xdr:col>6</xdr:col>
      <xdr:colOff>85725</xdr:colOff>
      <xdr:row>7</xdr:row>
      <xdr:rowOff>47624</xdr:rowOff>
    </xdr:from>
    <xdr:to>
      <xdr:col>17</xdr:col>
      <xdr:colOff>78829</xdr:colOff>
      <xdr:row>9</xdr:row>
      <xdr:rowOff>38100</xdr:rowOff>
    </xdr:to>
    <xdr:sp macro="" textlink="">
      <xdr:nvSpPr>
        <xdr:cNvPr id="13" name="CaixaDeTexto 12">
          <a:extLst>
            <a:ext uri="{FF2B5EF4-FFF2-40B4-BE49-F238E27FC236}">
              <a16:creationId xmlns:a16="http://schemas.microsoft.com/office/drawing/2014/main" id="{00000000-0008-0000-0600-00000D000000}"/>
            </a:ext>
          </a:extLst>
        </xdr:cNvPr>
        <xdr:cNvSpPr txBox="1"/>
      </xdr:nvSpPr>
      <xdr:spPr>
        <a:xfrm>
          <a:off x="1090777" y="757072"/>
          <a:ext cx="1221500" cy="17440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Descrição</a:t>
          </a:r>
          <a:r>
            <a:rPr lang="pt-BR" sz="800" baseline="0"/>
            <a:t> dos Serviços:</a:t>
          </a:r>
          <a:endParaRPr lang="pt-BR" sz="800"/>
        </a:p>
      </xdr:txBody>
    </xdr:sp>
    <xdr:clientData/>
  </xdr:twoCellAnchor>
  <xdr:twoCellAnchor>
    <xdr:from>
      <xdr:col>6</xdr:col>
      <xdr:colOff>85725</xdr:colOff>
      <xdr:row>29</xdr:row>
      <xdr:rowOff>85725</xdr:rowOff>
    </xdr:from>
    <xdr:to>
      <xdr:col>20</xdr:col>
      <xdr:colOff>38100</xdr:colOff>
      <xdr:row>30</xdr:row>
      <xdr:rowOff>38100</xdr:rowOff>
    </xdr:to>
    <xdr:sp macro="" textlink="">
      <xdr:nvSpPr>
        <xdr:cNvPr id="14" name="CaixaDeTexto 13">
          <a:extLst>
            <a:ext uri="{FF2B5EF4-FFF2-40B4-BE49-F238E27FC236}">
              <a16:creationId xmlns:a16="http://schemas.microsoft.com/office/drawing/2014/main" id="{00000000-0008-0000-0600-00000E000000}"/>
            </a:ext>
          </a:extLst>
        </xdr:cNvPr>
        <xdr:cNvSpPr txBox="1"/>
      </xdr:nvSpPr>
      <xdr:spPr>
        <a:xfrm>
          <a:off x="1114425" y="3505200"/>
          <a:ext cx="1552575" cy="76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Cálculo do Valor Líquido a Pagar</a:t>
          </a:r>
          <a:r>
            <a:rPr lang="pt-BR" sz="800" baseline="0"/>
            <a:t>:</a:t>
          </a:r>
          <a:endParaRPr lang="pt-BR" sz="800"/>
        </a:p>
      </xdr:txBody>
    </xdr:sp>
    <xdr:clientData/>
  </xdr:twoCellAnchor>
  <xdr:twoCellAnchor>
    <xdr:from>
      <xdr:col>6</xdr:col>
      <xdr:colOff>85727</xdr:colOff>
      <xdr:row>40</xdr:row>
      <xdr:rowOff>57150</xdr:rowOff>
    </xdr:from>
    <xdr:to>
      <xdr:col>13</xdr:col>
      <xdr:colOff>1</xdr:colOff>
      <xdr:row>41</xdr:row>
      <xdr:rowOff>66675</xdr:rowOff>
    </xdr:to>
    <xdr:sp macro="" textlink="">
      <xdr:nvSpPr>
        <xdr:cNvPr id="15" name="CaixaDeTexto 14">
          <a:extLst>
            <a:ext uri="{FF2B5EF4-FFF2-40B4-BE49-F238E27FC236}">
              <a16:creationId xmlns:a16="http://schemas.microsoft.com/office/drawing/2014/main" id="{00000000-0008-0000-0600-00000F000000}"/>
            </a:ext>
          </a:extLst>
        </xdr:cNvPr>
        <xdr:cNvSpPr txBox="1"/>
      </xdr:nvSpPr>
      <xdr:spPr>
        <a:xfrm>
          <a:off x="1114427" y="4505325"/>
          <a:ext cx="714374" cy="76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Local e Data:</a:t>
          </a:r>
        </a:p>
      </xdr:txBody>
    </xdr:sp>
    <xdr:clientData/>
  </xdr:twoCellAnchor>
  <xdr:twoCellAnchor>
    <xdr:from>
      <xdr:col>0</xdr:col>
      <xdr:colOff>66675</xdr:colOff>
      <xdr:row>0</xdr:row>
      <xdr:rowOff>85725</xdr:rowOff>
    </xdr:from>
    <xdr:to>
      <xdr:col>2</xdr:col>
      <xdr:colOff>0</xdr:colOff>
      <xdr:row>1</xdr:row>
      <xdr:rowOff>91109</xdr:rowOff>
    </xdr:to>
    <xdr:sp macro="[0]!Ir_RegistrosRPAs_Direto" textlink="">
      <xdr:nvSpPr>
        <xdr:cNvPr id="18" name="Seta: para a Esquerda 17">
          <a:extLst>
            <a:ext uri="{FF2B5EF4-FFF2-40B4-BE49-F238E27FC236}">
              <a16:creationId xmlns:a16="http://schemas.microsoft.com/office/drawing/2014/main" id="{00000000-0008-0000-0600-000012000000}"/>
            </a:ext>
          </a:extLst>
        </xdr:cNvPr>
        <xdr:cNvSpPr/>
      </xdr:nvSpPr>
      <xdr:spPr>
        <a:xfrm>
          <a:off x="66675" y="85725"/>
          <a:ext cx="165238" cy="146188"/>
        </a:xfrm>
        <a:prstGeom prst="leftArrow">
          <a:avLst/>
        </a:prstGeom>
        <a:solidFill>
          <a:schemeClr val="accent4">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twoCellAnchor editAs="oneCell">
    <xdr:from>
      <xdr:col>58</xdr:col>
      <xdr:colOff>9525</xdr:colOff>
      <xdr:row>0</xdr:row>
      <xdr:rowOff>47625</xdr:rowOff>
    </xdr:from>
    <xdr:to>
      <xdr:col>60</xdr:col>
      <xdr:colOff>85725</xdr:colOff>
      <xdr:row>2</xdr:row>
      <xdr:rowOff>71517</xdr:rowOff>
    </xdr:to>
    <xdr:pic macro="[0]!ImprimirRPA">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81825" y="47625"/>
          <a:ext cx="304800" cy="305501"/>
        </a:xfrm>
        <a:prstGeom prst="rect">
          <a:avLst/>
        </a:prstGeom>
      </xdr:spPr>
    </xdr:pic>
    <xdr:clientData/>
  </xdr:twoCellAnchor>
  <xdr:twoCellAnchor>
    <xdr:from>
      <xdr:col>6</xdr:col>
      <xdr:colOff>55836</xdr:colOff>
      <xdr:row>53</xdr:row>
      <xdr:rowOff>47625</xdr:rowOff>
    </xdr:from>
    <xdr:to>
      <xdr:col>21</xdr:col>
      <xdr:colOff>72259</xdr:colOff>
      <xdr:row>55</xdr:row>
      <xdr:rowOff>329</xdr:rowOff>
    </xdr:to>
    <xdr:sp macro="" textlink="">
      <xdr:nvSpPr>
        <xdr:cNvPr id="10" name="CaixaDeTexto 9">
          <a:extLst>
            <a:ext uri="{FF2B5EF4-FFF2-40B4-BE49-F238E27FC236}">
              <a16:creationId xmlns:a16="http://schemas.microsoft.com/office/drawing/2014/main" id="{00000000-0008-0000-0600-00000A000000}"/>
            </a:ext>
          </a:extLst>
        </xdr:cNvPr>
        <xdr:cNvSpPr txBox="1"/>
      </xdr:nvSpPr>
      <xdr:spPr>
        <a:xfrm>
          <a:off x="1060888" y="172435"/>
          <a:ext cx="1691509" cy="1629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Empresa</a:t>
          </a:r>
          <a:r>
            <a:rPr lang="pt-BR" sz="800" baseline="0"/>
            <a:t> Tomadora dos Serviços:</a:t>
          </a:r>
          <a:endParaRPr lang="pt-BR" sz="800"/>
        </a:p>
      </xdr:txBody>
    </xdr:sp>
    <xdr:clientData/>
  </xdr:twoCellAnchor>
  <xdr:twoCellAnchor>
    <xdr:from>
      <xdr:col>34</xdr:col>
      <xdr:colOff>91639</xdr:colOff>
      <xdr:row>53</xdr:row>
      <xdr:rowOff>77513</xdr:rowOff>
    </xdr:from>
    <xdr:to>
      <xdr:col>45</xdr:col>
      <xdr:colOff>45984</xdr:colOff>
      <xdr:row>54</xdr:row>
      <xdr:rowOff>52552</xdr:rowOff>
    </xdr:to>
    <xdr:sp macro="" textlink="">
      <xdr:nvSpPr>
        <xdr:cNvPr id="16" name="CaixaDeTexto 15">
          <a:extLst>
            <a:ext uri="{FF2B5EF4-FFF2-40B4-BE49-F238E27FC236}">
              <a16:creationId xmlns:a16="http://schemas.microsoft.com/office/drawing/2014/main" id="{00000000-0008-0000-0600-000010000000}"/>
            </a:ext>
          </a:extLst>
        </xdr:cNvPr>
        <xdr:cNvSpPr txBox="1"/>
      </xdr:nvSpPr>
      <xdr:spPr>
        <a:xfrm>
          <a:off x="4223518" y="5214444"/>
          <a:ext cx="1182742" cy="1064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Prestador</a:t>
          </a:r>
          <a:r>
            <a:rPr lang="pt-BR" sz="800" baseline="0"/>
            <a:t> dos Serviços:</a:t>
          </a:r>
          <a:endParaRPr lang="pt-BR" sz="800"/>
        </a:p>
      </xdr:txBody>
    </xdr:sp>
    <xdr:clientData/>
  </xdr:twoCellAnchor>
  <xdr:twoCellAnchor>
    <xdr:from>
      <xdr:col>6</xdr:col>
      <xdr:colOff>79156</xdr:colOff>
      <xdr:row>63</xdr:row>
      <xdr:rowOff>47625</xdr:rowOff>
    </xdr:from>
    <xdr:to>
      <xdr:col>30</xdr:col>
      <xdr:colOff>98534</xdr:colOff>
      <xdr:row>64</xdr:row>
      <xdr:rowOff>66262</xdr:rowOff>
    </xdr:to>
    <xdr:sp macro="" textlink="">
      <xdr:nvSpPr>
        <xdr:cNvPr id="17" name="CaixaDeTexto 16">
          <a:extLst>
            <a:ext uri="{FF2B5EF4-FFF2-40B4-BE49-F238E27FC236}">
              <a16:creationId xmlns:a16="http://schemas.microsoft.com/office/drawing/2014/main" id="{00000000-0008-0000-0600-000011000000}"/>
            </a:ext>
          </a:extLst>
        </xdr:cNvPr>
        <xdr:cNvSpPr txBox="1"/>
      </xdr:nvSpPr>
      <xdr:spPr>
        <a:xfrm>
          <a:off x="774895" y="6665429"/>
          <a:ext cx="2802335" cy="1428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Dados para o Cálculo do Imposto de Renda Retido na Fonte</a:t>
          </a:r>
          <a:r>
            <a:rPr lang="pt-BR" sz="800" baseline="0"/>
            <a:t>:</a:t>
          </a:r>
          <a:endParaRPr lang="pt-BR" sz="800"/>
        </a:p>
      </xdr:txBody>
    </xdr:sp>
    <xdr:clientData/>
  </xdr:twoCellAnchor>
  <xdr:twoCellAnchor>
    <xdr:from>
      <xdr:col>6</xdr:col>
      <xdr:colOff>85725</xdr:colOff>
      <xdr:row>58</xdr:row>
      <xdr:rowOff>47624</xdr:rowOff>
    </xdr:from>
    <xdr:to>
      <xdr:col>17</xdr:col>
      <xdr:colOff>78829</xdr:colOff>
      <xdr:row>60</xdr:row>
      <xdr:rowOff>38100</xdr:rowOff>
    </xdr:to>
    <xdr:sp macro="" textlink="">
      <xdr:nvSpPr>
        <xdr:cNvPr id="19" name="CaixaDeTexto 18">
          <a:extLst>
            <a:ext uri="{FF2B5EF4-FFF2-40B4-BE49-F238E27FC236}">
              <a16:creationId xmlns:a16="http://schemas.microsoft.com/office/drawing/2014/main" id="{00000000-0008-0000-0600-000013000000}"/>
            </a:ext>
          </a:extLst>
        </xdr:cNvPr>
        <xdr:cNvSpPr txBox="1"/>
      </xdr:nvSpPr>
      <xdr:spPr>
        <a:xfrm>
          <a:off x="1090777" y="757072"/>
          <a:ext cx="1221500" cy="17440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Descrição</a:t>
          </a:r>
          <a:r>
            <a:rPr lang="pt-BR" sz="800" baseline="0"/>
            <a:t> dos Serviços:</a:t>
          </a:r>
          <a:endParaRPr lang="pt-BR" sz="800"/>
        </a:p>
      </xdr:txBody>
    </xdr:sp>
    <xdr:clientData/>
  </xdr:twoCellAnchor>
  <xdr:twoCellAnchor>
    <xdr:from>
      <xdr:col>6</xdr:col>
      <xdr:colOff>59449</xdr:colOff>
      <xdr:row>80</xdr:row>
      <xdr:rowOff>46310</xdr:rowOff>
    </xdr:from>
    <xdr:to>
      <xdr:col>20</xdr:col>
      <xdr:colOff>72258</xdr:colOff>
      <xdr:row>81</xdr:row>
      <xdr:rowOff>52551</xdr:rowOff>
    </xdr:to>
    <xdr:sp macro="" textlink="">
      <xdr:nvSpPr>
        <xdr:cNvPr id="20" name="CaixaDeTexto 19">
          <a:extLst>
            <a:ext uri="{FF2B5EF4-FFF2-40B4-BE49-F238E27FC236}">
              <a16:creationId xmlns:a16="http://schemas.microsoft.com/office/drawing/2014/main" id="{00000000-0008-0000-0600-000014000000}"/>
            </a:ext>
          </a:extLst>
        </xdr:cNvPr>
        <xdr:cNvSpPr txBox="1"/>
      </xdr:nvSpPr>
      <xdr:spPr>
        <a:xfrm>
          <a:off x="755188" y="8063875"/>
          <a:ext cx="1636200" cy="77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Cálculo do Valor Líquido a Pagar</a:t>
          </a:r>
          <a:r>
            <a:rPr lang="pt-BR" sz="800" baseline="0"/>
            <a:t>:</a:t>
          </a:r>
          <a:endParaRPr lang="pt-BR" sz="800"/>
        </a:p>
      </xdr:txBody>
    </xdr:sp>
    <xdr:clientData/>
  </xdr:twoCellAnchor>
  <xdr:twoCellAnchor>
    <xdr:from>
      <xdr:col>6</xdr:col>
      <xdr:colOff>85727</xdr:colOff>
      <xdr:row>91</xdr:row>
      <xdr:rowOff>30875</xdr:rowOff>
    </xdr:from>
    <xdr:to>
      <xdr:col>13</xdr:col>
      <xdr:colOff>98534</xdr:colOff>
      <xdr:row>92</xdr:row>
      <xdr:rowOff>45984</xdr:rowOff>
    </xdr:to>
    <xdr:sp macro="" textlink="">
      <xdr:nvSpPr>
        <xdr:cNvPr id="21" name="CaixaDeTexto 20">
          <a:extLst>
            <a:ext uri="{FF2B5EF4-FFF2-40B4-BE49-F238E27FC236}">
              <a16:creationId xmlns:a16="http://schemas.microsoft.com/office/drawing/2014/main" id="{00000000-0008-0000-0600-000015000000}"/>
            </a:ext>
          </a:extLst>
        </xdr:cNvPr>
        <xdr:cNvSpPr txBox="1"/>
      </xdr:nvSpPr>
      <xdr:spPr>
        <a:xfrm>
          <a:off x="1090779" y="9023789"/>
          <a:ext cx="794514" cy="8079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Local e Data:</a:t>
          </a:r>
        </a:p>
      </xdr:txBody>
    </xdr:sp>
    <xdr:clientData/>
  </xdr:twoCellAnchor>
  <xdr:twoCellAnchor>
    <xdr:from>
      <xdr:col>6</xdr:col>
      <xdr:colOff>55836</xdr:colOff>
      <xdr:row>53</xdr:row>
      <xdr:rowOff>47625</xdr:rowOff>
    </xdr:from>
    <xdr:to>
      <xdr:col>21</xdr:col>
      <xdr:colOff>72259</xdr:colOff>
      <xdr:row>55</xdr:row>
      <xdr:rowOff>329</xdr:rowOff>
    </xdr:to>
    <xdr:sp macro="" textlink="">
      <xdr:nvSpPr>
        <xdr:cNvPr id="24" name="CaixaDeTexto 23">
          <a:extLst>
            <a:ext uri="{FF2B5EF4-FFF2-40B4-BE49-F238E27FC236}">
              <a16:creationId xmlns:a16="http://schemas.microsoft.com/office/drawing/2014/main" id="{00000000-0008-0000-0600-000018000000}"/>
            </a:ext>
          </a:extLst>
        </xdr:cNvPr>
        <xdr:cNvSpPr txBox="1"/>
      </xdr:nvSpPr>
      <xdr:spPr>
        <a:xfrm>
          <a:off x="741636" y="295275"/>
          <a:ext cx="1730923" cy="16225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Empresa</a:t>
          </a:r>
          <a:r>
            <a:rPr lang="pt-BR" sz="800" baseline="0"/>
            <a:t> Tomadora dos Serviços:</a:t>
          </a:r>
          <a:endParaRPr lang="pt-BR" sz="800"/>
        </a:p>
      </xdr:txBody>
    </xdr:sp>
    <xdr:clientData/>
  </xdr:twoCellAnchor>
  <xdr:twoCellAnchor>
    <xdr:from>
      <xdr:col>35</xdr:col>
      <xdr:colOff>6242</xdr:colOff>
      <xdr:row>53</xdr:row>
      <xdr:rowOff>77513</xdr:rowOff>
    </xdr:from>
    <xdr:to>
      <xdr:col>45</xdr:col>
      <xdr:colOff>72260</xdr:colOff>
      <xdr:row>54</xdr:row>
      <xdr:rowOff>52552</xdr:rowOff>
    </xdr:to>
    <xdr:sp macro="" textlink="">
      <xdr:nvSpPr>
        <xdr:cNvPr id="25" name="CaixaDeTexto 24">
          <a:extLst>
            <a:ext uri="{FF2B5EF4-FFF2-40B4-BE49-F238E27FC236}">
              <a16:creationId xmlns:a16="http://schemas.microsoft.com/office/drawing/2014/main" id="{00000000-0008-0000-0600-000019000000}"/>
            </a:ext>
          </a:extLst>
        </xdr:cNvPr>
        <xdr:cNvSpPr txBox="1"/>
      </xdr:nvSpPr>
      <xdr:spPr>
        <a:xfrm>
          <a:off x="4006742" y="325163"/>
          <a:ext cx="1209018" cy="988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Prestador</a:t>
          </a:r>
          <a:r>
            <a:rPr lang="pt-BR" sz="800" baseline="0"/>
            <a:t> dos Serviços:</a:t>
          </a:r>
          <a:endParaRPr lang="pt-BR" sz="800"/>
        </a:p>
      </xdr:txBody>
    </xdr:sp>
    <xdr:clientData/>
  </xdr:twoCellAnchor>
  <xdr:twoCellAnchor>
    <xdr:from>
      <xdr:col>6</xdr:col>
      <xdr:colOff>85725</xdr:colOff>
      <xdr:row>58</xdr:row>
      <xdr:rowOff>47624</xdr:rowOff>
    </xdr:from>
    <xdr:to>
      <xdr:col>17</xdr:col>
      <xdr:colOff>78829</xdr:colOff>
      <xdr:row>60</xdr:row>
      <xdr:rowOff>38100</xdr:rowOff>
    </xdr:to>
    <xdr:sp macro="" textlink="">
      <xdr:nvSpPr>
        <xdr:cNvPr id="27" name="CaixaDeTexto 26">
          <a:extLst>
            <a:ext uri="{FF2B5EF4-FFF2-40B4-BE49-F238E27FC236}">
              <a16:creationId xmlns:a16="http://schemas.microsoft.com/office/drawing/2014/main" id="{00000000-0008-0000-0600-00001B000000}"/>
            </a:ext>
          </a:extLst>
        </xdr:cNvPr>
        <xdr:cNvSpPr txBox="1"/>
      </xdr:nvSpPr>
      <xdr:spPr>
        <a:xfrm>
          <a:off x="771525" y="828674"/>
          <a:ext cx="1250404" cy="1714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Descrição</a:t>
          </a:r>
          <a:r>
            <a:rPr lang="pt-BR" sz="800" baseline="0"/>
            <a:t> dos Serviços:</a:t>
          </a:r>
          <a:endParaRPr lang="pt-BR" sz="8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57150</xdr:colOff>
      <xdr:row>7</xdr:row>
      <xdr:rowOff>114300</xdr:rowOff>
    </xdr:from>
    <xdr:to>
      <xdr:col>1</xdr:col>
      <xdr:colOff>285749</xdr:colOff>
      <xdr:row>8</xdr:row>
      <xdr:rowOff>123824</xdr:rowOff>
    </xdr:to>
    <xdr:sp macro="[0]!Ir_RegistroRPAs" textlink="">
      <xdr:nvSpPr>
        <xdr:cNvPr id="3" name="Seta: para a Esquerda 2">
          <a:extLst>
            <a:ext uri="{FF2B5EF4-FFF2-40B4-BE49-F238E27FC236}">
              <a16:creationId xmlns:a16="http://schemas.microsoft.com/office/drawing/2014/main" id="{00000000-0008-0000-0700-000003000000}"/>
            </a:ext>
          </a:extLst>
        </xdr:cNvPr>
        <xdr:cNvSpPr/>
      </xdr:nvSpPr>
      <xdr:spPr>
        <a:xfrm>
          <a:off x="114300" y="1552575"/>
          <a:ext cx="228599" cy="219074"/>
        </a:xfrm>
        <a:prstGeom prst="leftArrow">
          <a:avLst/>
        </a:prstGeom>
        <a:solidFill>
          <a:schemeClr val="accent4">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78441</xdr:colOff>
      <xdr:row>1</xdr:row>
      <xdr:rowOff>145677</xdr:rowOff>
    </xdr:from>
    <xdr:to>
      <xdr:col>0</xdr:col>
      <xdr:colOff>307040</xdr:colOff>
      <xdr:row>1</xdr:row>
      <xdr:rowOff>364751</xdr:rowOff>
    </xdr:to>
    <xdr:sp macro="[0]!Ir_RegistrosRPAs_Direto" textlink="">
      <xdr:nvSpPr>
        <xdr:cNvPr id="2" name="Seta: para a Esquerda 1">
          <a:extLst>
            <a:ext uri="{FF2B5EF4-FFF2-40B4-BE49-F238E27FC236}">
              <a16:creationId xmlns:a16="http://schemas.microsoft.com/office/drawing/2014/main" id="{00000000-0008-0000-0800-000002000000}"/>
            </a:ext>
          </a:extLst>
        </xdr:cNvPr>
        <xdr:cNvSpPr/>
      </xdr:nvSpPr>
      <xdr:spPr>
        <a:xfrm>
          <a:off x="78441" y="179295"/>
          <a:ext cx="228599" cy="219074"/>
        </a:xfrm>
        <a:prstGeom prst="leftArrow">
          <a:avLst/>
        </a:prstGeom>
        <a:solidFill>
          <a:schemeClr val="accent4">
            <a:lumMod val="20000"/>
            <a:lumOff val="8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twoCellAnchor editAs="oneCell">
    <xdr:from>
      <xdr:col>5</xdr:col>
      <xdr:colOff>795618</xdr:colOff>
      <xdr:row>1</xdr:row>
      <xdr:rowOff>235324</xdr:rowOff>
    </xdr:from>
    <xdr:to>
      <xdr:col>5</xdr:col>
      <xdr:colOff>2005855</xdr:colOff>
      <xdr:row>1</xdr:row>
      <xdr:rowOff>481853</xdr:rowOff>
    </xdr:to>
    <xdr:sp macro="[0]!ExcluirRegistro" textlink="">
      <xdr:nvSpPr>
        <xdr:cNvPr id="3" name="CaixaDeTexto 2">
          <a:extLst>
            <a:ext uri="{FF2B5EF4-FFF2-40B4-BE49-F238E27FC236}">
              <a16:creationId xmlns:a16="http://schemas.microsoft.com/office/drawing/2014/main" id="{00000000-0008-0000-0800-000003000000}"/>
            </a:ext>
          </a:extLst>
        </xdr:cNvPr>
        <xdr:cNvSpPr txBox="1">
          <a:spLocks/>
        </xdr:cNvSpPr>
      </xdr:nvSpPr>
      <xdr:spPr>
        <a:xfrm>
          <a:off x="5098677" y="268942"/>
          <a:ext cx="1210237" cy="246529"/>
        </a:xfrm>
        <a:prstGeom prst="rect">
          <a:avLst/>
        </a:prstGeom>
        <a:solidFill>
          <a:srgbClr val="FF0000"/>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pt-BR" sz="1100" b="1">
              <a:solidFill>
                <a:schemeClr val="bg1"/>
              </a:solidFill>
            </a:rPr>
            <a:t>EXCLUIR LINHA</a:t>
          </a:r>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gis Marinho" refreshedDate="43432.559210763888" missingItemsLimit="0" createdVersion="6" refreshedVersion="6" minRefreshableVersion="3" recordCount="2" xr:uid="{B8E8E61B-91AE-4686-9933-32305917578A}">
  <cacheSource type="worksheet">
    <worksheetSource name="RPAsRegTD"/>
  </cacheSource>
  <cacheFields count="29">
    <cacheField name="Nº" numFmtId="1">
      <sharedItems containsSemiMixedTypes="0" containsString="0" containsNumber="1" containsInteger="1" minValue="1" maxValue="2" count="2">
        <n v="1"/>
        <n v="2"/>
      </sharedItems>
    </cacheField>
    <cacheField name="DATA DO RPA" numFmtId="14">
      <sharedItems containsSemiMixedTypes="0" containsNonDate="0" containsDate="1" containsString="0" minDate="2018-11-01T00:00:00" maxDate="2018-11-03T00:00:00"/>
    </cacheField>
    <cacheField name="LOCAL (CIDADE)" numFmtId="49">
      <sharedItems/>
    </cacheField>
    <cacheField name="ALÍQUOTA ISS" numFmtId="169">
      <sharedItems containsSemiMixedTypes="0" containsString="0" containsNumber="1" minValue="0.05" maxValue="0.05"/>
    </cacheField>
    <cacheField name="TOMADOR DOS SERVIÇOS" numFmtId="0">
      <sharedItems count="1">
        <s v="Quota Empreendimentos Imobiliários Ltda."/>
      </sharedItems>
    </cacheField>
    <cacheField name="PRESTADOR DOS SERVIÇOS" numFmtId="0">
      <sharedItems count="1">
        <s v="Régis Marinho"/>
      </sharedItems>
    </cacheField>
    <cacheField name="DESCRIÇÃO DOS SERVIÇOS" numFmtId="49">
      <sharedItems count="1">
        <s v="asaasasa"/>
      </sharedItems>
    </cacheField>
    <cacheField name="VALOR SERVIÇO" numFmtId="164">
      <sharedItems containsSemiMixedTypes="0" containsString="0" containsNumber="1" containsInteger="1" minValue="10000" maxValue="10000"/>
    </cacheField>
    <cacheField name="INSS" numFmtId="164">
      <sharedItems containsSemiMixedTypes="0" containsString="0" containsNumber="1" containsInteger="1" minValue="-260" maxValue="-180"/>
    </cacheField>
    <cacheField name="IRRF" numFmtId="164">
      <sharedItems containsSemiMixedTypes="0" containsString="0" containsNumber="1" containsInteger="1" minValue="0" maxValue="0"/>
    </cacheField>
    <cacheField name="ISS" numFmtId="164">
      <sharedItems containsSemiMixedTypes="0" containsString="0" containsNumber="1" containsInteger="1" minValue="-500" maxValue="-500"/>
    </cacheField>
    <cacheField name="SEST/SENAT" numFmtId="164">
      <sharedItems containsSemiMixedTypes="0" containsString="0" containsNumber="1" containsInteger="1" minValue="-50" maxValue="-50"/>
    </cacheField>
    <cacheField name="VALOR LÍQ." numFmtId="164">
      <sharedItems containsSemiMixedTypes="0" containsString="0" containsNumber="1" containsInteger="1" minValue="9190" maxValue="9270"/>
    </cacheField>
    <cacheField name="VALOR SERVIÇOS ANTERIORES" numFmtId="164">
      <sharedItems containsSemiMixedTypes="0" containsString="0" containsNumber="1" containsInteger="1" minValue="0" maxValue="10000"/>
    </cacheField>
    <cacheField name="INSS ANTERIOR" numFmtId="164">
      <sharedItems containsSemiMixedTypes="0" containsString="0" containsNumber="1" containsInteger="1" minValue="0" maxValue="180"/>
    </cacheField>
    <cacheField name="IRRF ANTERIOR" numFmtId="164">
      <sharedItems containsSemiMixedTypes="0" containsString="0" containsNumber="1" containsInteger="1" minValue="0" maxValue="0"/>
    </cacheField>
    <cacheField name="VALOR OUTRAS EMPRESAS" numFmtId="164">
      <sharedItems containsSemiMixedTypes="0" containsString="0" containsNumber="1" containsInteger="1" minValue="0" maxValue="0"/>
    </cacheField>
    <cacheField name="INSS OUTRAS EMPRESAS" numFmtId="164">
      <sharedItems containsSemiMixedTypes="0" containsString="0" containsNumber="1" containsInteger="1" minValue="0" maxValue="0"/>
    </cacheField>
    <cacheField name="IRRF OUTRAS EMPRESAS" numFmtId="164">
      <sharedItems containsSemiMixedTypes="0" containsString="0" containsNumber="1" containsInteger="1" minValue="0" maxValue="0"/>
    </cacheField>
    <cacheField name="INSCR. MUNICIPAL" numFmtId="49">
      <sharedItems/>
    </cacheField>
    <cacheField name="Nº DEPENDENTES" numFmtId="49">
      <sharedItems containsSemiMixedTypes="0" containsString="0" containsNumber="1" containsInteger="1" minValue="0" maxValue="0"/>
    </cacheField>
    <cacheField name="VLR. PENSÃO ALIMENTÍCIA" numFmtId="164">
      <sharedItems containsSemiMixedTypes="0" containsString="0" containsNumber="1" containsInteger="1" minValue="0" maxValue="0"/>
    </cacheField>
    <cacheField name="VLR. OUTRAS DEDUÇÕES" numFmtId="164">
      <sharedItems containsSemiMixedTypes="0" containsString="0" containsNumber="1" containsInteger="1" minValue="0" maxValue="0"/>
    </cacheField>
    <cacheField name="TIPO DE SERVIÇO" numFmtId="164">
      <sharedItems/>
    </cacheField>
    <cacheField name="OBSERVAÇÕES" numFmtId="49">
      <sharedItems/>
    </cacheField>
    <cacheField name="STATUS" numFmtId="49">
      <sharedItems/>
    </cacheField>
    <cacheField name="DADOS CONCATENADOS" numFmtId="0">
      <sharedItems/>
    </cacheField>
    <cacheField name="MÊS" numFmtId="0">
      <sharedItems containsSemiMixedTypes="0" containsString="0" containsNumber="1" containsInteger="1" minValue="11" maxValue="11" count="1">
        <n v="11"/>
      </sharedItems>
    </cacheField>
    <cacheField name="ANO" numFmtId="0">
      <sharedItems containsSemiMixedTypes="0" containsString="0" containsNumber="1" containsInteger="1" minValue="2018" maxValue="2018" count="1">
        <n v="201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d v="2018-11-01T00:00:00"/>
    <s v="São Paulo"/>
    <n v="0.05"/>
    <x v="0"/>
    <x v="0"/>
    <x v="0"/>
    <n v="10000"/>
    <n v="-180"/>
    <n v="0"/>
    <n v="-500"/>
    <n v="-50"/>
    <n v="9270"/>
    <n v="0"/>
    <n v="0"/>
    <n v="0"/>
    <n v="0"/>
    <n v="0"/>
    <n v="0"/>
    <s v="NÃO"/>
    <n v="0"/>
    <n v="0"/>
    <n v="0"/>
    <s v="Transportes"/>
    <s v=""/>
    <s v="VIGENTE"/>
    <s v="01/11/2018São Paulo0,05Quota Empreendimentos Imobiliários Ltda.Régis Marinhoasaasasa10000TransportesVIGENTE"/>
    <x v="0"/>
    <x v="0"/>
  </r>
  <r>
    <x v="1"/>
    <d v="2018-11-02T00:00:00"/>
    <s v="São Paulo"/>
    <n v="0.05"/>
    <x v="0"/>
    <x v="0"/>
    <x v="0"/>
    <n v="10000"/>
    <n v="-260"/>
    <n v="0"/>
    <n v="-500"/>
    <n v="-50"/>
    <n v="9190"/>
    <n v="10000"/>
    <n v="180"/>
    <n v="0"/>
    <n v="0"/>
    <n v="0"/>
    <n v="0"/>
    <s v="NÃO"/>
    <n v="0"/>
    <n v="0"/>
    <n v="0"/>
    <s v="Transportes"/>
    <s v=""/>
    <s v="VIGENTE"/>
    <s v="02/11/2018São Paulo0,05Quota Empreendimentos Imobiliários Ltda.Régis Marinhoasaasasa10000TransportesVIGENTE"/>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416A50-D30A-4812-A880-0A59AC5CFBCB}" name="Tabela dinâmica1" cacheId="26" applyNumberFormats="0" applyBorderFormats="0" applyFontFormats="0" applyPatternFormats="0" applyAlignmentFormats="0" applyWidthHeightFormats="1" dataCaption="Valores" updatedVersion="6" minRefreshableVersion="3" useAutoFormatting="1" itemPrintTitles="1" createdVersion="6" indent="0" compact="0" compactData="0" gridDropZones="1" multipleFieldFilters="0" rowHeaderCaption="TOMADOR DOS SERVIÇOS">
  <location ref="C7:K11" firstHeaderRow="1" firstDataRow="2" firstDataCol="3" rowPageCount="3" colPageCount="1"/>
  <pivotFields count="29">
    <pivotField axis="axisRow" compact="0" numFmtId="1" outline="0" showAll="0" defaultSubtotal="0">
      <items count="2">
        <item x="0"/>
        <item x="1"/>
      </items>
    </pivotField>
    <pivotField compact="0" numFmtId="14" outline="0" showAll="0"/>
    <pivotField compact="0" outline="0" showAll="0"/>
    <pivotField compact="0" numFmtId="169" outline="0" showAll="0"/>
    <pivotField axis="axisRow" compact="0" outline="0" showAll="0" defaultSubtotal="0">
      <items count="1">
        <item x="0"/>
      </items>
    </pivotField>
    <pivotField name="NOME" axis="axisPage" compact="0" outline="0" showAll="0">
      <items count="2">
        <item x="0"/>
        <item t="default"/>
      </items>
    </pivotField>
    <pivotField axis="axisRow" compact="0" outline="0" showAll="0">
      <items count="2">
        <item x="0"/>
        <item t="default"/>
      </items>
    </pivotField>
    <pivotField dataField="1" compact="0" numFmtId="164" outline="0" showAll="0"/>
    <pivotField dataField="1" compact="0" numFmtId="164" outline="0" showAll="0"/>
    <pivotField dataField="1" compact="0" numFmtId="164" outline="0" showAll="0"/>
    <pivotField dataField="1" compact="0" numFmtId="164" outline="0" showAll="0"/>
    <pivotField dataField="1" compact="0" numFmtId="164" outline="0" showAll="0"/>
    <pivotField dataField="1" compact="0" numFmtId="164" outline="0" showAll="0"/>
    <pivotField compact="0" numFmtId="164" outline="0" showAll="0"/>
    <pivotField compact="0" numFmtId="164" outline="0" showAll="0"/>
    <pivotField compact="0" numFmtId="164" outline="0" showAll="0"/>
    <pivotField compact="0" numFmtId="164" outline="0" showAll="0"/>
    <pivotField compact="0" numFmtId="164" outline="0" showAll="0"/>
    <pivotField compact="0" numFmtId="164" outline="0" showAll="0"/>
    <pivotField compact="0" outline="0" showAll="0"/>
    <pivotField compact="0" numFmtId="49" outline="0" showAll="0"/>
    <pivotField compact="0" numFmtId="164" outline="0" showAll="0"/>
    <pivotField compact="0" numFmtId="164"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axis="axisPage" compact="0" outline="0" showAll="0">
      <items count="2">
        <item x="0"/>
        <item t="default"/>
      </items>
    </pivotField>
  </pivotFields>
  <rowFields count="3">
    <field x="0"/>
    <field x="4"/>
    <field x="6"/>
  </rowFields>
  <rowItems count="3">
    <i>
      <x/>
      <x/>
      <x/>
    </i>
    <i>
      <x v="1"/>
      <x/>
      <x/>
    </i>
    <i t="grand">
      <x/>
    </i>
  </rowItems>
  <colFields count="1">
    <field x="-2"/>
  </colFields>
  <colItems count="6">
    <i>
      <x/>
    </i>
    <i i="1">
      <x v="1"/>
    </i>
    <i i="2">
      <x v="2"/>
    </i>
    <i i="3">
      <x v="3"/>
    </i>
    <i i="4">
      <x v="4"/>
    </i>
    <i i="5">
      <x v="5"/>
    </i>
  </colItems>
  <pageFields count="3">
    <pageField fld="28" item="0" hier="-1"/>
    <pageField fld="27" item="0" hier="-1"/>
    <pageField fld="5" item="0" hier="-1"/>
  </pageFields>
  <dataFields count="6">
    <dataField name="SERVIÇO " fld="7" baseField="0" baseItem="0" numFmtId="175"/>
    <dataField name="INSS " fld="8" baseField="0" baseItem="0" numFmtId="175"/>
    <dataField name="IRRF " fld="9" baseField="0" baseItem="0" numFmtId="175"/>
    <dataField name="ISS " fld="10" baseField="0" baseItem="0" numFmtId="175"/>
    <dataField name="SEST/SENAT " fld="11" baseField="0" baseItem="0" numFmtId="175"/>
    <dataField name="VALOR LÍQ. " fld="12" baseField="0" baseItem="0" numFmtId="175"/>
  </dataFields>
  <formats count="2">
    <format dxfId="2">
      <pivotArea dataOnly="0" labelOnly="1" outline="0" fieldPosition="0">
        <references count="1">
          <reference field="4294967294" count="5">
            <x v="0"/>
            <x v="1"/>
            <x v="2"/>
            <x v="3"/>
            <x v="4"/>
          </reference>
        </references>
      </pivotArea>
    </format>
    <format dxfId="1">
      <pivotArea field="0" type="button" dataOnly="0" labelOnly="1" outline="0" axis="axisRow" fieldPosition="0"/>
    </format>
  </formats>
  <pivotTableStyleInfo name="PivotStyleMedium2"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5.xml"/><Relationship Id="rId2" Type="http://schemas.openxmlformats.org/officeDocument/2006/relationships/drawing" Target="../drawings/drawing6.xml"/><Relationship Id="rId16" Type="http://schemas.openxmlformats.org/officeDocument/2006/relationships/comments" Target="../comments1.xml"/><Relationship Id="rId1" Type="http://schemas.openxmlformats.org/officeDocument/2006/relationships/printerSettings" Target="../printerSettings/printerSettings6.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_Menu">
    <pageSetUpPr fitToPage="1"/>
  </sheetPr>
  <dimension ref="A1:U17"/>
  <sheetViews>
    <sheetView showGridLines="0" showRowColHeaders="0" tabSelected="1" zoomScaleNormal="100" workbookViewId="0"/>
  </sheetViews>
  <sheetFormatPr defaultRowHeight="15" x14ac:dyDescent="0.25"/>
  <cols>
    <col min="1" max="1" width="3.28515625" customWidth="1"/>
    <col min="2" max="7" width="9.140625" customWidth="1"/>
    <col min="8" max="8" width="4.7109375" customWidth="1"/>
    <col min="15" max="15" width="4.7109375" customWidth="1"/>
  </cols>
  <sheetData>
    <row r="1" spans="1:21" ht="35.25" customHeight="1" x14ac:dyDescent="0.25">
      <c r="A1" s="76"/>
    </row>
    <row r="2" spans="1:21" ht="7.5" customHeight="1" x14ac:dyDescent="0.25"/>
    <row r="3" spans="1:21" ht="13.5" customHeight="1" x14ac:dyDescent="0.25"/>
    <row r="4" spans="1:21" ht="19.5" customHeight="1" x14ac:dyDescent="0.25"/>
    <row r="5" spans="1:21" s="4" customFormat="1" ht="21" customHeight="1" x14ac:dyDescent="0.25">
      <c r="J5" s="69"/>
      <c r="K5" s="69"/>
      <c r="L5" s="69"/>
      <c r="M5" s="69"/>
      <c r="N5" s="69"/>
      <c r="O5" s="69"/>
      <c r="P5" s="69"/>
      <c r="Q5" s="207"/>
      <c r="R5" s="207"/>
      <c r="S5" s="207"/>
      <c r="T5" s="207"/>
      <c r="U5" s="207"/>
    </row>
    <row r="6" spans="1:21" ht="9" customHeight="1" x14ac:dyDescent="0.25">
      <c r="Q6" s="208"/>
      <c r="R6" s="208"/>
      <c r="S6" s="208"/>
      <c r="T6" s="208"/>
      <c r="U6" s="208"/>
    </row>
    <row r="7" spans="1:21" s="4" customFormat="1" ht="21" customHeight="1" x14ac:dyDescent="0.25">
      <c r="J7" s="69"/>
      <c r="K7" s="69"/>
      <c r="L7" s="69"/>
      <c r="M7" s="69"/>
      <c r="N7" s="69"/>
      <c r="O7" s="69"/>
      <c r="P7" s="69"/>
      <c r="Q7" s="208"/>
      <c r="R7" s="208"/>
      <c r="S7" s="208"/>
      <c r="T7" s="208"/>
      <c r="U7" s="208"/>
    </row>
    <row r="8" spans="1:21" ht="9" customHeight="1" x14ac:dyDescent="0.25">
      <c r="Q8" s="205"/>
      <c r="R8" s="205"/>
      <c r="S8" s="205"/>
      <c r="T8" s="205"/>
      <c r="U8" s="205"/>
    </row>
    <row r="9" spans="1:21" s="4" customFormat="1" ht="21" customHeight="1" x14ac:dyDescent="0.25">
      <c r="J9" s="69"/>
      <c r="K9" s="69"/>
      <c r="L9" s="69"/>
      <c r="M9" s="69"/>
      <c r="N9" s="69"/>
      <c r="O9" s="69"/>
      <c r="P9" s="69"/>
      <c r="Q9" s="205"/>
      <c r="R9" s="205"/>
      <c r="S9" s="205"/>
      <c r="T9" s="205"/>
      <c r="U9" s="205"/>
    </row>
    <row r="10" spans="1:21" ht="9" customHeight="1" x14ac:dyDescent="0.25">
      <c r="Q10" s="206"/>
      <c r="R10" s="206"/>
      <c r="S10" s="206"/>
      <c r="T10" s="206"/>
      <c r="U10" s="206"/>
    </row>
    <row r="11" spans="1:21" s="4" customFormat="1" ht="21" customHeight="1" x14ac:dyDescent="0.25">
      <c r="J11" s="69"/>
      <c r="K11" s="69"/>
      <c r="L11" s="69"/>
      <c r="M11" s="69"/>
      <c r="N11" s="69"/>
      <c r="O11" s="69"/>
      <c r="P11" s="69"/>
      <c r="Q11" s="206"/>
      <c r="R11" s="206"/>
      <c r="S11" s="206"/>
      <c r="T11" s="206"/>
      <c r="U11" s="206"/>
    </row>
    <row r="12" spans="1:21" ht="9" customHeight="1" x14ac:dyDescent="0.25"/>
    <row r="13" spans="1:21" s="4" customFormat="1" ht="21" customHeight="1" x14ac:dyDescent="0.25">
      <c r="J13" s="69"/>
      <c r="K13" s="69"/>
      <c r="L13" s="69"/>
      <c r="M13" s="69"/>
      <c r="N13" s="69"/>
      <c r="O13" s="69"/>
      <c r="P13" s="69"/>
    </row>
    <row r="14" spans="1:21" ht="9" customHeight="1" x14ac:dyDescent="0.25"/>
    <row r="15" spans="1:21" s="4" customFormat="1" ht="21" customHeight="1" x14ac:dyDescent="0.25">
      <c r="J15" s="69"/>
      <c r="K15" s="69"/>
      <c r="L15" s="69"/>
      <c r="M15" s="69"/>
      <c r="N15" s="69"/>
      <c r="O15" s="69"/>
      <c r="P15" s="69"/>
    </row>
    <row r="16" spans="1:21" ht="9" customHeight="1" x14ac:dyDescent="0.25"/>
    <row r="17" spans="10:16" s="4" customFormat="1" ht="21" customHeight="1" x14ac:dyDescent="0.25">
      <c r="J17" s="69"/>
      <c r="K17" s="69"/>
      <c r="L17" s="69"/>
      <c r="M17" s="69"/>
      <c r="N17" s="69"/>
      <c r="O17" s="69"/>
      <c r="P17" s="69"/>
    </row>
  </sheetData>
  <sheetProtection algorithmName="SHA-512" hashValue="f8h75Y+6UOKdulbdRSbVJR0kRyRdvS6fIHfp7d8euP6MBUttaV2pjrqXjyt4yxyhdIi5ZEfbMK6RSo6v2PB3Fw==" saltValue="RLKThj3i2eJvTVcIohGnnQ==" spinCount="100000" sheet="1" objects="1" scenarios="1" selectLockedCells="1"/>
  <mergeCells count="4">
    <mergeCell ref="Q8:U9"/>
    <mergeCell ref="Q10:U11"/>
    <mergeCell ref="Q5:U5"/>
    <mergeCell ref="Q6:U7"/>
  </mergeCells>
  <conditionalFormatting sqref="Q8:U9">
    <cfRule type="expression" dxfId="35" priority="2">
      <formula>$Q$8&lt;&gt;""</formula>
    </cfRule>
  </conditionalFormatting>
  <conditionalFormatting sqref="Q6">
    <cfRule type="expression" dxfId="34" priority="1">
      <formula>$Q$8&lt;&gt;""</formula>
    </cfRule>
  </conditionalFormatting>
  <conditionalFormatting sqref="Q6:U7">
    <cfRule type="expression" dxfId="33" priority="4">
      <formula>$Q$8&lt;&gt;""</formula>
    </cfRule>
  </conditionalFormatting>
  <pageMargins left="0.51181102362204722" right="0.51181102362204722" top="0.78740157480314965" bottom="0.78740157480314965" header="0.31496062992125984" footer="0.31496062992125984"/>
  <pageSetup paperSize="9" orientation="landscape" horizontalDpi="0" verticalDpi="0" r:id="rId1"/>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BC8AA-EAA9-454D-8B82-09EC1AAFECFD}">
  <sheetPr codeName="sht_CadTiposServicos">
    <pageSetUpPr fitToPage="1"/>
  </sheetPr>
  <dimension ref="B1:F496"/>
  <sheetViews>
    <sheetView showGridLines="0" workbookViewId="0">
      <selection activeCell="B5" sqref="B5"/>
    </sheetView>
  </sheetViews>
  <sheetFormatPr defaultRowHeight="15" x14ac:dyDescent="0.25"/>
  <cols>
    <col min="1" max="1" width="4.5703125" customWidth="1"/>
    <col min="2" max="2" width="47.7109375" style="15" customWidth="1"/>
    <col min="3" max="5" width="14.140625" style="134" customWidth="1"/>
    <col min="6" max="6" width="11.5703125" style="147" bestFit="1" customWidth="1"/>
  </cols>
  <sheetData>
    <row r="1" spans="2:6" ht="4.5" customHeight="1" x14ac:dyDescent="0.25"/>
    <row r="2" spans="2:6" s="4" customFormat="1" ht="30" customHeight="1" x14ac:dyDescent="0.25">
      <c r="B2" s="100" t="s">
        <v>92</v>
      </c>
      <c r="C2" s="135" t="s">
        <v>93</v>
      </c>
      <c r="D2" s="135" t="s">
        <v>94</v>
      </c>
      <c r="E2" s="135" t="s">
        <v>95</v>
      </c>
      <c r="F2" s="148" t="s">
        <v>107</v>
      </c>
    </row>
    <row r="3" spans="2:6" x14ac:dyDescent="0.25">
      <c r="B3" s="71" t="s">
        <v>97</v>
      </c>
      <c r="C3" s="136">
        <v>0.2</v>
      </c>
      <c r="D3" s="136">
        <v>0.1</v>
      </c>
      <c r="E3" s="136">
        <v>0.2</v>
      </c>
      <c r="F3" s="149">
        <v>2.5000000000000001E-2</v>
      </c>
    </row>
    <row r="4" spans="2:6" x14ac:dyDescent="0.25">
      <c r="B4" s="71" t="s">
        <v>96</v>
      </c>
      <c r="C4" s="136">
        <v>1</v>
      </c>
      <c r="D4" s="136">
        <v>1</v>
      </c>
      <c r="E4" s="136">
        <v>1</v>
      </c>
      <c r="F4" s="149">
        <v>0</v>
      </c>
    </row>
    <row r="5" spans="2:6" x14ac:dyDescent="0.25">
      <c r="B5" s="71"/>
      <c r="C5" s="136"/>
      <c r="D5" s="136"/>
      <c r="E5" s="136"/>
      <c r="F5" s="149"/>
    </row>
    <row r="6" spans="2:6" x14ac:dyDescent="0.25">
      <c r="B6" s="71"/>
      <c r="C6" s="136"/>
      <c r="D6" s="136"/>
      <c r="E6" s="136"/>
      <c r="F6" s="149"/>
    </row>
    <row r="7" spans="2:6" x14ac:dyDescent="0.25">
      <c r="B7" s="71"/>
      <c r="C7" s="136"/>
      <c r="D7" s="136"/>
      <c r="E7" s="136"/>
      <c r="F7" s="149"/>
    </row>
    <row r="8" spans="2:6" x14ac:dyDescent="0.25">
      <c r="B8" s="71"/>
      <c r="C8" s="136"/>
      <c r="D8" s="136"/>
      <c r="E8" s="136"/>
      <c r="F8" s="149"/>
    </row>
    <row r="9" spans="2:6" x14ac:dyDescent="0.25">
      <c r="B9" s="71"/>
      <c r="C9" s="136"/>
      <c r="D9" s="136"/>
      <c r="E9" s="136"/>
      <c r="F9" s="149"/>
    </row>
    <row r="10" spans="2:6" x14ac:dyDescent="0.25">
      <c r="B10" s="71"/>
      <c r="C10" s="136"/>
      <c r="D10" s="136"/>
      <c r="E10" s="136"/>
      <c r="F10" s="149"/>
    </row>
    <row r="11" spans="2:6" x14ac:dyDescent="0.25">
      <c r="B11" s="71"/>
      <c r="C11" s="136"/>
      <c r="D11" s="136"/>
      <c r="E11" s="136"/>
      <c r="F11" s="149"/>
    </row>
    <row r="12" spans="2:6" x14ac:dyDescent="0.25">
      <c r="B12" s="71"/>
      <c r="C12" s="136"/>
      <c r="D12" s="136"/>
      <c r="E12" s="136"/>
      <c r="F12" s="149"/>
    </row>
    <row r="13" spans="2:6" x14ac:dyDescent="0.25">
      <c r="B13" s="71"/>
      <c r="C13" s="136"/>
      <c r="D13" s="136"/>
      <c r="E13" s="136"/>
      <c r="F13" s="149"/>
    </row>
    <row r="14" spans="2:6" x14ac:dyDescent="0.25">
      <c r="B14" s="71"/>
      <c r="C14" s="136"/>
      <c r="D14" s="136"/>
      <c r="E14" s="136"/>
      <c r="F14" s="149"/>
    </row>
    <row r="15" spans="2:6" x14ac:dyDescent="0.25">
      <c r="B15" s="71"/>
      <c r="C15" s="136"/>
      <c r="D15" s="136"/>
      <c r="E15" s="136"/>
      <c r="F15" s="149"/>
    </row>
    <row r="16" spans="2:6" x14ac:dyDescent="0.25">
      <c r="B16" s="71"/>
      <c r="C16" s="136"/>
      <c r="D16" s="136"/>
      <c r="E16" s="136"/>
      <c r="F16" s="149"/>
    </row>
    <row r="17" spans="2:6" x14ac:dyDescent="0.25">
      <c r="B17" s="71"/>
      <c r="C17" s="136"/>
      <c r="D17" s="136"/>
      <c r="E17" s="136"/>
      <c r="F17" s="149"/>
    </row>
    <row r="18" spans="2:6" x14ac:dyDescent="0.25">
      <c r="B18" s="71"/>
      <c r="C18" s="136"/>
      <c r="D18" s="136"/>
      <c r="E18" s="136"/>
      <c r="F18" s="149"/>
    </row>
    <row r="19" spans="2:6" x14ac:dyDescent="0.25">
      <c r="B19" s="71"/>
      <c r="C19" s="136"/>
      <c r="D19" s="136"/>
      <c r="E19" s="136"/>
      <c r="F19" s="149"/>
    </row>
    <row r="20" spans="2:6" x14ac:dyDescent="0.25">
      <c r="B20" s="71"/>
      <c r="C20" s="136"/>
      <c r="D20" s="136"/>
      <c r="E20" s="136"/>
      <c r="F20" s="149"/>
    </row>
    <row r="21" spans="2:6" x14ac:dyDescent="0.25">
      <c r="B21" s="71"/>
      <c r="C21" s="136"/>
      <c r="D21" s="136"/>
      <c r="E21" s="136"/>
      <c r="F21" s="149"/>
    </row>
    <row r="22" spans="2:6" x14ac:dyDescent="0.25">
      <c r="B22" s="71"/>
      <c r="C22" s="136"/>
      <c r="D22" s="136"/>
      <c r="E22" s="136"/>
      <c r="F22" s="149"/>
    </row>
    <row r="23" spans="2:6" x14ac:dyDescent="0.25">
      <c r="B23" s="71"/>
      <c r="C23" s="136"/>
      <c r="D23" s="136"/>
      <c r="E23" s="136"/>
      <c r="F23" s="149"/>
    </row>
    <row r="24" spans="2:6" x14ac:dyDescent="0.25">
      <c r="B24" s="71"/>
      <c r="C24" s="136"/>
      <c r="D24" s="136"/>
      <c r="E24" s="136"/>
      <c r="F24" s="149"/>
    </row>
    <row r="25" spans="2:6" x14ac:dyDescent="0.25">
      <c r="B25" s="71"/>
      <c r="C25" s="136"/>
      <c r="D25" s="136"/>
      <c r="E25" s="136"/>
      <c r="F25" s="149"/>
    </row>
    <row r="26" spans="2:6" x14ac:dyDescent="0.25">
      <c r="B26" s="71"/>
      <c r="C26" s="136"/>
      <c r="D26" s="136"/>
      <c r="E26" s="136"/>
      <c r="F26" s="149"/>
    </row>
    <row r="27" spans="2:6" x14ac:dyDescent="0.25">
      <c r="B27" s="71"/>
      <c r="C27" s="136"/>
      <c r="D27" s="136"/>
      <c r="E27" s="136"/>
      <c r="F27" s="149"/>
    </row>
    <row r="28" spans="2:6" x14ac:dyDescent="0.25">
      <c r="B28" s="71"/>
      <c r="C28" s="136"/>
      <c r="D28" s="136"/>
      <c r="E28" s="136"/>
      <c r="F28" s="149"/>
    </row>
    <row r="29" spans="2:6" x14ac:dyDescent="0.25">
      <c r="B29" s="71"/>
      <c r="C29" s="136"/>
      <c r="D29" s="136"/>
      <c r="E29" s="136"/>
      <c r="F29" s="149"/>
    </row>
    <row r="30" spans="2:6" x14ac:dyDescent="0.25">
      <c r="B30" s="71"/>
      <c r="C30" s="136"/>
      <c r="D30" s="136"/>
      <c r="E30" s="136"/>
      <c r="F30" s="149"/>
    </row>
    <row r="31" spans="2:6" x14ac:dyDescent="0.25">
      <c r="B31" s="71"/>
      <c r="C31" s="136"/>
      <c r="D31" s="136"/>
      <c r="E31" s="136"/>
      <c r="F31" s="149"/>
    </row>
    <row r="32" spans="2:6" x14ac:dyDescent="0.25">
      <c r="B32" s="71"/>
      <c r="C32" s="136"/>
      <c r="D32" s="136"/>
      <c r="E32" s="136"/>
      <c r="F32" s="149"/>
    </row>
    <row r="33" spans="2:6" x14ac:dyDescent="0.25">
      <c r="B33" s="71"/>
      <c r="C33" s="136"/>
      <c r="D33" s="136"/>
      <c r="E33" s="136"/>
      <c r="F33" s="149"/>
    </row>
    <row r="34" spans="2:6" x14ac:dyDescent="0.25">
      <c r="B34" s="71"/>
      <c r="C34" s="136"/>
      <c r="D34" s="136"/>
      <c r="E34" s="136"/>
      <c r="F34" s="149"/>
    </row>
    <row r="35" spans="2:6" x14ac:dyDescent="0.25">
      <c r="B35" s="71"/>
      <c r="C35" s="136"/>
      <c r="D35" s="136"/>
      <c r="E35" s="136"/>
      <c r="F35" s="149"/>
    </row>
    <row r="36" spans="2:6" x14ac:dyDescent="0.25">
      <c r="B36" s="71"/>
      <c r="C36" s="136"/>
      <c r="D36" s="136"/>
      <c r="E36" s="136"/>
      <c r="F36" s="149"/>
    </row>
    <row r="37" spans="2:6" x14ac:dyDescent="0.25">
      <c r="B37" s="71"/>
      <c r="C37" s="136"/>
      <c r="D37" s="136"/>
      <c r="E37" s="136"/>
      <c r="F37" s="149"/>
    </row>
    <row r="38" spans="2:6" x14ac:dyDescent="0.25">
      <c r="B38" s="71"/>
      <c r="C38" s="136"/>
      <c r="D38" s="136"/>
      <c r="E38" s="136"/>
      <c r="F38" s="149"/>
    </row>
    <row r="39" spans="2:6" x14ac:dyDescent="0.25">
      <c r="B39" s="71"/>
      <c r="C39" s="136"/>
      <c r="D39" s="136"/>
      <c r="E39" s="136"/>
      <c r="F39" s="149"/>
    </row>
    <row r="40" spans="2:6" x14ac:dyDescent="0.25">
      <c r="B40" s="71"/>
      <c r="C40" s="136"/>
      <c r="D40" s="136"/>
      <c r="E40" s="136"/>
      <c r="F40" s="149"/>
    </row>
    <row r="41" spans="2:6" x14ac:dyDescent="0.25">
      <c r="B41" s="71"/>
      <c r="C41" s="136"/>
      <c r="D41" s="136"/>
      <c r="E41" s="136"/>
      <c r="F41" s="149"/>
    </row>
    <row r="42" spans="2:6" x14ac:dyDescent="0.25">
      <c r="B42" s="71"/>
      <c r="C42" s="136"/>
      <c r="D42" s="136"/>
      <c r="E42" s="136"/>
      <c r="F42" s="149"/>
    </row>
    <row r="43" spans="2:6" x14ac:dyDescent="0.25">
      <c r="B43" s="71"/>
      <c r="C43" s="136"/>
      <c r="D43" s="136"/>
      <c r="E43" s="136"/>
      <c r="F43" s="149"/>
    </row>
    <row r="44" spans="2:6" x14ac:dyDescent="0.25">
      <c r="B44" s="71"/>
      <c r="C44" s="136"/>
      <c r="D44" s="136"/>
      <c r="E44" s="136"/>
      <c r="F44" s="149"/>
    </row>
    <row r="45" spans="2:6" x14ac:dyDescent="0.25">
      <c r="B45" s="71"/>
      <c r="C45" s="136"/>
      <c r="D45" s="136"/>
      <c r="E45" s="136"/>
      <c r="F45" s="149"/>
    </row>
    <row r="46" spans="2:6" x14ac:dyDescent="0.25">
      <c r="B46" s="71"/>
      <c r="C46" s="136"/>
      <c r="D46" s="136"/>
      <c r="E46" s="136"/>
      <c r="F46" s="149"/>
    </row>
    <row r="47" spans="2:6" x14ac:dyDescent="0.25">
      <c r="B47" s="71"/>
      <c r="C47" s="136"/>
      <c r="D47" s="136"/>
      <c r="E47" s="136"/>
      <c r="F47" s="149"/>
    </row>
    <row r="48" spans="2:6" x14ac:dyDescent="0.25">
      <c r="B48" s="71"/>
      <c r="C48" s="136"/>
      <c r="D48" s="136"/>
      <c r="E48" s="136"/>
      <c r="F48" s="149"/>
    </row>
    <row r="49" spans="2:6" x14ac:dyDescent="0.25">
      <c r="B49" s="71"/>
      <c r="C49" s="136"/>
      <c r="D49" s="136"/>
      <c r="E49" s="136"/>
      <c r="F49" s="149"/>
    </row>
    <row r="50" spans="2:6" x14ac:dyDescent="0.25">
      <c r="B50" s="71"/>
      <c r="C50" s="136"/>
      <c r="D50" s="136"/>
      <c r="E50" s="136"/>
      <c r="F50" s="149"/>
    </row>
    <row r="51" spans="2:6" x14ac:dyDescent="0.25">
      <c r="B51" s="71"/>
      <c r="C51" s="136"/>
      <c r="D51" s="136"/>
      <c r="E51" s="136"/>
      <c r="F51" s="149"/>
    </row>
    <row r="52" spans="2:6" x14ac:dyDescent="0.25">
      <c r="B52" s="71"/>
      <c r="C52" s="136"/>
      <c r="D52" s="136"/>
      <c r="E52" s="136"/>
      <c r="F52" s="149"/>
    </row>
    <row r="53" spans="2:6" x14ac:dyDescent="0.25">
      <c r="B53" s="71"/>
      <c r="C53" s="136"/>
      <c r="D53" s="136"/>
      <c r="E53" s="136"/>
      <c r="F53" s="149"/>
    </row>
    <row r="54" spans="2:6" x14ac:dyDescent="0.25">
      <c r="B54" s="71"/>
      <c r="C54" s="136"/>
      <c r="D54" s="136"/>
      <c r="E54" s="136"/>
      <c r="F54" s="149"/>
    </row>
    <row r="55" spans="2:6" x14ac:dyDescent="0.25">
      <c r="B55" s="71"/>
      <c r="C55" s="136"/>
      <c r="D55" s="136"/>
      <c r="E55" s="136"/>
      <c r="F55" s="149"/>
    </row>
    <row r="56" spans="2:6" x14ac:dyDescent="0.25">
      <c r="B56" s="71"/>
      <c r="C56" s="136"/>
      <c r="D56" s="136"/>
      <c r="E56" s="136"/>
      <c r="F56" s="149"/>
    </row>
    <row r="57" spans="2:6" x14ac:dyDescent="0.25">
      <c r="B57" s="71"/>
      <c r="C57" s="136"/>
      <c r="D57" s="136"/>
      <c r="E57" s="136"/>
      <c r="F57" s="149"/>
    </row>
    <row r="58" spans="2:6" x14ac:dyDescent="0.25">
      <c r="B58" s="71"/>
      <c r="C58" s="136"/>
      <c r="D58" s="136"/>
      <c r="E58" s="136"/>
      <c r="F58" s="149"/>
    </row>
    <row r="59" spans="2:6" x14ac:dyDescent="0.25">
      <c r="B59" s="71"/>
      <c r="C59" s="136"/>
      <c r="D59" s="136"/>
      <c r="E59" s="136"/>
      <c r="F59" s="149"/>
    </row>
    <row r="60" spans="2:6" x14ac:dyDescent="0.25">
      <c r="B60" s="71"/>
      <c r="C60" s="136"/>
      <c r="D60" s="136"/>
      <c r="E60" s="136"/>
      <c r="F60" s="149"/>
    </row>
    <row r="61" spans="2:6" x14ac:dyDescent="0.25">
      <c r="B61" s="71"/>
      <c r="C61" s="136"/>
      <c r="D61" s="136"/>
      <c r="E61" s="136"/>
      <c r="F61" s="149"/>
    </row>
    <row r="62" spans="2:6" x14ac:dyDescent="0.25">
      <c r="B62" s="71"/>
      <c r="C62" s="136"/>
      <c r="D62" s="136"/>
      <c r="E62" s="136"/>
      <c r="F62" s="149"/>
    </row>
    <row r="63" spans="2:6" x14ac:dyDescent="0.25">
      <c r="B63" s="71"/>
      <c r="C63" s="136"/>
      <c r="D63" s="136"/>
      <c r="E63" s="136"/>
      <c r="F63" s="149"/>
    </row>
    <row r="64" spans="2:6" x14ac:dyDescent="0.25">
      <c r="B64" s="71"/>
      <c r="C64" s="136"/>
      <c r="D64" s="136"/>
      <c r="E64" s="136"/>
      <c r="F64" s="149"/>
    </row>
    <row r="65" spans="2:6" x14ac:dyDescent="0.25">
      <c r="B65" s="71"/>
      <c r="C65" s="136"/>
      <c r="D65" s="136"/>
      <c r="E65" s="136"/>
      <c r="F65" s="149"/>
    </row>
    <row r="66" spans="2:6" x14ac:dyDescent="0.25">
      <c r="B66" s="71"/>
      <c r="C66" s="136"/>
      <c r="D66" s="136"/>
      <c r="E66" s="136"/>
      <c r="F66" s="149"/>
    </row>
    <row r="67" spans="2:6" x14ac:dyDescent="0.25">
      <c r="B67" s="71"/>
      <c r="C67" s="136"/>
      <c r="D67" s="136"/>
      <c r="E67" s="136"/>
      <c r="F67" s="149"/>
    </row>
    <row r="68" spans="2:6" x14ac:dyDescent="0.25">
      <c r="B68" s="71"/>
      <c r="C68" s="136"/>
      <c r="D68" s="136"/>
      <c r="E68" s="136"/>
      <c r="F68" s="149"/>
    </row>
    <row r="69" spans="2:6" x14ac:dyDescent="0.25">
      <c r="B69" s="71"/>
      <c r="C69" s="136"/>
      <c r="D69" s="136"/>
      <c r="E69" s="136"/>
      <c r="F69" s="149"/>
    </row>
    <row r="70" spans="2:6" x14ac:dyDescent="0.25">
      <c r="B70" s="71"/>
      <c r="C70" s="136"/>
      <c r="D70" s="136"/>
      <c r="E70" s="136"/>
      <c r="F70" s="149"/>
    </row>
    <row r="71" spans="2:6" x14ac:dyDescent="0.25">
      <c r="B71" s="71"/>
      <c r="C71" s="136"/>
      <c r="D71" s="136"/>
      <c r="E71" s="136"/>
      <c r="F71" s="149"/>
    </row>
    <row r="72" spans="2:6" x14ac:dyDescent="0.25">
      <c r="B72" s="71"/>
      <c r="C72" s="136"/>
      <c r="D72" s="136"/>
      <c r="E72" s="136"/>
      <c r="F72" s="149"/>
    </row>
    <row r="73" spans="2:6" x14ac:dyDescent="0.25">
      <c r="B73" s="71"/>
      <c r="C73" s="136"/>
      <c r="D73" s="136"/>
      <c r="E73" s="136"/>
      <c r="F73" s="149"/>
    </row>
    <row r="74" spans="2:6" x14ac:dyDescent="0.25">
      <c r="B74" s="71"/>
      <c r="C74" s="136"/>
      <c r="D74" s="136"/>
      <c r="E74" s="136"/>
      <c r="F74" s="149"/>
    </row>
    <row r="75" spans="2:6" x14ac:dyDescent="0.25">
      <c r="B75" s="71"/>
      <c r="C75" s="136"/>
      <c r="D75" s="136"/>
      <c r="E75" s="136"/>
      <c r="F75" s="149"/>
    </row>
    <row r="76" spans="2:6" x14ac:dyDescent="0.25">
      <c r="B76" s="71"/>
      <c r="C76" s="136"/>
      <c r="D76" s="136"/>
      <c r="E76" s="136"/>
      <c r="F76" s="149"/>
    </row>
    <row r="77" spans="2:6" x14ac:dyDescent="0.25">
      <c r="B77" s="71"/>
      <c r="C77" s="136"/>
      <c r="D77" s="136"/>
      <c r="E77" s="136"/>
      <c r="F77" s="149"/>
    </row>
    <row r="78" spans="2:6" x14ac:dyDescent="0.25">
      <c r="B78" s="71"/>
      <c r="C78" s="136"/>
      <c r="D78" s="136"/>
      <c r="E78" s="136"/>
      <c r="F78" s="149"/>
    </row>
    <row r="79" spans="2:6" x14ac:dyDescent="0.25">
      <c r="B79" s="71"/>
      <c r="C79" s="136"/>
      <c r="D79" s="136"/>
      <c r="E79" s="136"/>
      <c r="F79" s="149"/>
    </row>
    <row r="80" spans="2:6" x14ac:dyDescent="0.25">
      <c r="B80" s="71"/>
      <c r="C80" s="136"/>
      <c r="D80" s="136"/>
      <c r="E80" s="136"/>
      <c r="F80" s="149"/>
    </row>
    <row r="81" spans="2:6" x14ac:dyDescent="0.25">
      <c r="B81" s="71"/>
      <c r="C81" s="136"/>
      <c r="D81" s="136"/>
      <c r="E81" s="136"/>
      <c r="F81" s="149"/>
    </row>
    <row r="82" spans="2:6" x14ac:dyDescent="0.25">
      <c r="B82" s="71"/>
      <c r="C82" s="136"/>
      <c r="D82" s="136"/>
      <c r="E82" s="136"/>
      <c r="F82" s="149"/>
    </row>
    <row r="83" spans="2:6" x14ac:dyDescent="0.25">
      <c r="B83" s="71"/>
      <c r="C83" s="136"/>
      <c r="D83" s="136"/>
      <c r="E83" s="136"/>
      <c r="F83" s="149"/>
    </row>
    <row r="84" spans="2:6" x14ac:dyDescent="0.25">
      <c r="B84" s="71"/>
      <c r="C84" s="136"/>
      <c r="D84" s="136"/>
      <c r="E84" s="136"/>
      <c r="F84" s="149"/>
    </row>
    <row r="85" spans="2:6" x14ac:dyDescent="0.25">
      <c r="B85" s="71"/>
      <c r="C85" s="136"/>
      <c r="D85" s="136"/>
      <c r="E85" s="136"/>
      <c r="F85" s="149"/>
    </row>
    <row r="86" spans="2:6" x14ac:dyDescent="0.25">
      <c r="B86" s="71"/>
      <c r="C86" s="136"/>
      <c r="D86" s="136"/>
      <c r="E86" s="136"/>
      <c r="F86" s="149"/>
    </row>
    <row r="87" spans="2:6" x14ac:dyDescent="0.25">
      <c r="B87" s="71"/>
      <c r="C87" s="136"/>
      <c r="D87" s="136"/>
      <c r="E87" s="136"/>
      <c r="F87" s="149"/>
    </row>
    <row r="88" spans="2:6" x14ac:dyDescent="0.25">
      <c r="B88" s="71"/>
      <c r="C88" s="136"/>
      <c r="D88" s="136"/>
      <c r="E88" s="136"/>
      <c r="F88" s="149"/>
    </row>
    <row r="89" spans="2:6" x14ac:dyDescent="0.25">
      <c r="B89" s="71"/>
      <c r="C89" s="136"/>
      <c r="D89" s="136"/>
      <c r="E89" s="136"/>
      <c r="F89" s="149"/>
    </row>
    <row r="90" spans="2:6" x14ac:dyDescent="0.25">
      <c r="B90" s="71"/>
      <c r="C90" s="136"/>
      <c r="D90" s="136"/>
      <c r="E90" s="136"/>
      <c r="F90" s="149"/>
    </row>
    <row r="91" spans="2:6" x14ac:dyDescent="0.25">
      <c r="B91" s="71"/>
      <c r="C91" s="136"/>
      <c r="D91" s="136"/>
      <c r="E91" s="136"/>
      <c r="F91" s="149"/>
    </row>
    <row r="92" spans="2:6" x14ac:dyDescent="0.25">
      <c r="B92" s="71"/>
      <c r="C92" s="136"/>
      <c r="D92" s="136"/>
      <c r="E92" s="136"/>
      <c r="F92" s="149"/>
    </row>
    <row r="93" spans="2:6" x14ac:dyDescent="0.25">
      <c r="B93" s="71"/>
      <c r="C93" s="136"/>
      <c r="D93" s="136"/>
      <c r="E93" s="136"/>
      <c r="F93" s="149"/>
    </row>
    <row r="94" spans="2:6" x14ac:dyDescent="0.25">
      <c r="B94" s="71"/>
      <c r="C94" s="136"/>
      <c r="D94" s="136"/>
      <c r="E94" s="136"/>
      <c r="F94" s="149"/>
    </row>
    <row r="95" spans="2:6" x14ac:dyDescent="0.25">
      <c r="B95" s="71"/>
      <c r="C95" s="136"/>
      <c r="D95" s="136"/>
      <c r="E95" s="136"/>
      <c r="F95" s="149"/>
    </row>
    <row r="96" spans="2:6" x14ac:dyDescent="0.25">
      <c r="B96" s="71"/>
      <c r="C96" s="136"/>
      <c r="D96" s="136"/>
      <c r="E96" s="136"/>
      <c r="F96" s="149"/>
    </row>
    <row r="97" spans="2:6" x14ac:dyDescent="0.25">
      <c r="B97" s="71"/>
      <c r="C97" s="136"/>
      <c r="D97" s="136"/>
      <c r="E97" s="136"/>
      <c r="F97" s="149"/>
    </row>
    <row r="98" spans="2:6" x14ac:dyDescent="0.25">
      <c r="B98" s="71"/>
      <c r="C98" s="136"/>
      <c r="D98" s="136"/>
      <c r="E98" s="136"/>
      <c r="F98" s="149"/>
    </row>
    <row r="99" spans="2:6" x14ac:dyDescent="0.25">
      <c r="B99" s="71"/>
      <c r="C99" s="136"/>
      <c r="D99" s="136"/>
      <c r="E99" s="136"/>
      <c r="F99" s="149"/>
    </row>
    <row r="100" spans="2:6" x14ac:dyDescent="0.25">
      <c r="B100" s="71"/>
      <c r="C100" s="136"/>
      <c r="D100" s="136"/>
      <c r="E100" s="136"/>
      <c r="F100" s="149"/>
    </row>
    <row r="101" spans="2:6" x14ac:dyDescent="0.25">
      <c r="B101" s="71"/>
      <c r="C101" s="136"/>
      <c r="D101" s="136"/>
      <c r="E101" s="136"/>
      <c r="F101" s="149"/>
    </row>
    <row r="102" spans="2:6" x14ac:dyDescent="0.25">
      <c r="B102" s="71"/>
      <c r="C102" s="136"/>
      <c r="D102" s="136"/>
      <c r="E102" s="136"/>
      <c r="F102" s="149"/>
    </row>
    <row r="103" spans="2:6" x14ac:dyDescent="0.25">
      <c r="B103" s="71"/>
      <c r="C103" s="136"/>
      <c r="D103" s="136"/>
      <c r="E103" s="136"/>
      <c r="F103" s="149"/>
    </row>
    <row r="104" spans="2:6" x14ac:dyDescent="0.25">
      <c r="B104" s="71"/>
      <c r="C104" s="136"/>
      <c r="D104" s="136"/>
      <c r="E104" s="136"/>
      <c r="F104" s="149"/>
    </row>
    <row r="105" spans="2:6" x14ac:dyDescent="0.25">
      <c r="B105" s="71"/>
      <c r="C105" s="136"/>
      <c r="D105" s="136"/>
      <c r="E105" s="136"/>
      <c r="F105" s="149"/>
    </row>
    <row r="106" spans="2:6" x14ac:dyDescent="0.25">
      <c r="B106" s="71"/>
      <c r="C106" s="136"/>
      <c r="D106" s="136"/>
      <c r="E106" s="136"/>
      <c r="F106" s="149"/>
    </row>
    <row r="107" spans="2:6" x14ac:dyDescent="0.25">
      <c r="B107" s="71"/>
      <c r="C107" s="136"/>
      <c r="D107" s="136"/>
      <c r="E107" s="136"/>
      <c r="F107" s="149"/>
    </row>
    <row r="108" spans="2:6" x14ac:dyDescent="0.25">
      <c r="B108" s="71"/>
      <c r="C108" s="136"/>
      <c r="D108" s="136"/>
      <c r="E108" s="136"/>
      <c r="F108" s="149"/>
    </row>
    <row r="109" spans="2:6" x14ac:dyDescent="0.25">
      <c r="B109" s="71"/>
      <c r="C109" s="136"/>
      <c r="D109" s="136"/>
      <c r="E109" s="136"/>
      <c r="F109" s="149"/>
    </row>
    <row r="110" spans="2:6" x14ac:dyDescent="0.25">
      <c r="B110" s="71"/>
      <c r="C110" s="136"/>
      <c r="D110" s="136"/>
      <c r="E110" s="136"/>
      <c r="F110" s="149"/>
    </row>
    <row r="111" spans="2:6" x14ac:dyDescent="0.25">
      <c r="B111" s="71"/>
      <c r="C111" s="136"/>
      <c r="D111" s="136"/>
      <c r="E111" s="136"/>
      <c r="F111" s="149"/>
    </row>
    <row r="112" spans="2:6" x14ac:dyDescent="0.25">
      <c r="B112" s="71"/>
      <c r="C112" s="136"/>
      <c r="D112" s="136"/>
      <c r="E112" s="136"/>
      <c r="F112" s="149"/>
    </row>
    <row r="113" spans="2:6" x14ac:dyDescent="0.25">
      <c r="B113" s="71"/>
      <c r="C113" s="136"/>
      <c r="D113" s="136"/>
      <c r="E113" s="136"/>
      <c r="F113" s="149"/>
    </row>
    <row r="114" spans="2:6" x14ac:dyDescent="0.25">
      <c r="B114" s="71"/>
      <c r="C114" s="136"/>
      <c r="D114" s="136"/>
      <c r="E114" s="136"/>
      <c r="F114" s="149"/>
    </row>
    <row r="115" spans="2:6" x14ac:dyDescent="0.25">
      <c r="B115" s="71"/>
      <c r="C115" s="136"/>
      <c r="D115" s="136"/>
      <c r="E115" s="136"/>
      <c r="F115" s="149"/>
    </row>
    <row r="116" spans="2:6" x14ac:dyDescent="0.25">
      <c r="B116" s="71"/>
      <c r="C116" s="136"/>
      <c r="D116" s="136"/>
      <c r="E116" s="136"/>
      <c r="F116" s="149"/>
    </row>
    <row r="117" spans="2:6" x14ac:dyDescent="0.25">
      <c r="B117" s="71"/>
      <c r="C117" s="136"/>
      <c r="D117" s="136"/>
      <c r="E117" s="136"/>
      <c r="F117" s="149"/>
    </row>
    <row r="118" spans="2:6" x14ac:dyDescent="0.25">
      <c r="B118" s="71"/>
      <c r="C118" s="136"/>
      <c r="D118" s="136"/>
      <c r="E118" s="136"/>
      <c r="F118" s="149"/>
    </row>
    <row r="119" spans="2:6" x14ac:dyDescent="0.25">
      <c r="B119" s="71"/>
      <c r="C119" s="136"/>
      <c r="D119" s="136"/>
      <c r="E119" s="136"/>
      <c r="F119" s="149"/>
    </row>
    <row r="120" spans="2:6" x14ac:dyDescent="0.25">
      <c r="B120" s="71"/>
      <c r="C120" s="136"/>
      <c r="D120" s="136"/>
      <c r="E120" s="136"/>
      <c r="F120" s="149"/>
    </row>
    <row r="121" spans="2:6" x14ac:dyDescent="0.25">
      <c r="B121" s="71"/>
      <c r="C121" s="136"/>
      <c r="D121" s="136"/>
      <c r="E121" s="136"/>
      <c r="F121" s="149"/>
    </row>
    <row r="122" spans="2:6" x14ac:dyDescent="0.25">
      <c r="B122" s="71"/>
      <c r="C122" s="136"/>
      <c r="D122" s="136"/>
      <c r="E122" s="136"/>
      <c r="F122" s="149"/>
    </row>
    <row r="123" spans="2:6" x14ac:dyDescent="0.25">
      <c r="B123" s="71"/>
      <c r="C123" s="136"/>
      <c r="D123" s="136"/>
      <c r="E123" s="136"/>
      <c r="F123" s="149"/>
    </row>
    <row r="124" spans="2:6" x14ac:dyDescent="0.25">
      <c r="B124" s="71"/>
      <c r="C124" s="136"/>
      <c r="D124" s="136"/>
      <c r="E124" s="136"/>
      <c r="F124" s="149"/>
    </row>
    <row r="125" spans="2:6" x14ac:dyDescent="0.25">
      <c r="B125" s="71"/>
      <c r="C125" s="136"/>
      <c r="D125" s="136"/>
      <c r="E125" s="136"/>
      <c r="F125" s="149"/>
    </row>
    <row r="126" spans="2:6" x14ac:dyDescent="0.25">
      <c r="B126" s="71"/>
      <c r="C126" s="136"/>
      <c r="D126" s="136"/>
      <c r="E126" s="136"/>
      <c r="F126" s="149"/>
    </row>
    <row r="127" spans="2:6" x14ac:dyDescent="0.25">
      <c r="B127" s="71"/>
      <c r="C127" s="136"/>
      <c r="D127" s="136"/>
      <c r="E127" s="136"/>
      <c r="F127" s="149"/>
    </row>
    <row r="128" spans="2:6" x14ac:dyDescent="0.25">
      <c r="B128" s="71"/>
      <c r="C128" s="136"/>
      <c r="D128" s="136"/>
      <c r="E128" s="136"/>
      <c r="F128" s="149"/>
    </row>
    <row r="129" spans="2:6" x14ac:dyDescent="0.25">
      <c r="B129" s="71"/>
      <c r="C129" s="136"/>
      <c r="D129" s="136"/>
      <c r="E129" s="136"/>
      <c r="F129" s="149"/>
    </row>
    <row r="130" spans="2:6" x14ac:dyDescent="0.25">
      <c r="B130" s="71"/>
      <c r="C130" s="136"/>
      <c r="D130" s="136"/>
      <c r="E130" s="136"/>
      <c r="F130" s="149"/>
    </row>
    <row r="131" spans="2:6" x14ac:dyDescent="0.25">
      <c r="B131" s="71"/>
      <c r="C131" s="136"/>
      <c r="D131" s="136"/>
      <c r="E131" s="136"/>
      <c r="F131" s="149"/>
    </row>
    <row r="132" spans="2:6" x14ac:dyDescent="0.25">
      <c r="B132" s="71"/>
      <c r="C132" s="136"/>
      <c r="D132" s="136"/>
      <c r="E132" s="136"/>
      <c r="F132" s="149"/>
    </row>
    <row r="133" spans="2:6" x14ac:dyDescent="0.25">
      <c r="B133" s="71"/>
      <c r="C133" s="136"/>
      <c r="D133" s="136"/>
      <c r="E133" s="136"/>
      <c r="F133" s="149"/>
    </row>
    <row r="134" spans="2:6" x14ac:dyDescent="0.25">
      <c r="B134" s="71"/>
      <c r="C134" s="136"/>
      <c r="D134" s="136"/>
      <c r="E134" s="136"/>
      <c r="F134" s="149"/>
    </row>
    <row r="135" spans="2:6" x14ac:dyDescent="0.25">
      <c r="B135" s="71"/>
      <c r="C135" s="136"/>
      <c r="D135" s="136"/>
      <c r="E135" s="136"/>
      <c r="F135" s="149"/>
    </row>
    <row r="136" spans="2:6" x14ac:dyDescent="0.25">
      <c r="B136" s="71"/>
      <c r="C136" s="136"/>
      <c r="D136" s="136"/>
      <c r="E136" s="136"/>
      <c r="F136" s="149"/>
    </row>
    <row r="137" spans="2:6" x14ac:dyDescent="0.25">
      <c r="B137" s="71"/>
      <c r="C137" s="136"/>
      <c r="D137" s="136"/>
      <c r="E137" s="136"/>
      <c r="F137" s="149"/>
    </row>
    <row r="138" spans="2:6" x14ac:dyDescent="0.25">
      <c r="B138" s="71"/>
      <c r="C138" s="136"/>
      <c r="D138" s="136"/>
      <c r="E138" s="136"/>
      <c r="F138" s="149"/>
    </row>
    <row r="139" spans="2:6" x14ac:dyDescent="0.25">
      <c r="B139" s="71"/>
      <c r="C139" s="136"/>
      <c r="D139" s="136"/>
      <c r="E139" s="136"/>
      <c r="F139" s="149"/>
    </row>
    <row r="140" spans="2:6" x14ac:dyDescent="0.25">
      <c r="B140" s="71"/>
      <c r="C140" s="136"/>
      <c r="D140" s="136"/>
      <c r="E140" s="136"/>
      <c r="F140" s="149"/>
    </row>
    <row r="141" spans="2:6" x14ac:dyDescent="0.25">
      <c r="B141" s="71"/>
      <c r="C141" s="136"/>
      <c r="D141" s="136"/>
      <c r="E141" s="136"/>
      <c r="F141" s="149"/>
    </row>
    <row r="142" spans="2:6" x14ac:dyDescent="0.25">
      <c r="B142" s="71"/>
      <c r="C142" s="136"/>
      <c r="D142" s="136"/>
      <c r="E142" s="136"/>
      <c r="F142" s="149"/>
    </row>
    <row r="143" spans="2:6" x14ac:dyDescent="0.25">
      <c r="B143" s="71"/>
      <c r="C143" s="136"/>
      <c r="D143" s="136"/>
      <c r="E143" s="136"/>
      <c r="F143" s="149"/>
    </row>
    <row r="144" spans="2:6" x14ac:dyDescent="0.25">
      <c r="B144" s="71"/>
      <c r="C144" s="136"/>
      <c r="D144" s="136"/>
      <c r="E144" s="136"/>
      <c r="F144" s="149"/>
    </row>
    <row r="145" spans="2:6" x14ac:dyDescent="0.25">
      <c r="B145" s="71"/>
      <c r="C145" s="136"/>
      <c r="D145" s="136"/>
      <c r="E145" s="136"/>
      <c r="F145" s="149"/>
    </row>
    <row r="146" spans="2:6" x14ac:dyDescent="0.25">
      <c r="B146" s="71"/>
      <c r="C146" s="136"/>
      <c r="D146" s="136"/>
      <c r="E146" s="136"/>
      <c r="F146" s="149"/>
    </row>
    <row r="147" spans="2:6" x14ac:dyDescent="0.25">
      <c r="B147" s="71"/>
      <c r="C147" s="136"/>
      <c r="D147" s="136"/>
      <c r="E147" s="136"/>
      <c r="F147" s="149"/>
    </row>
    <row r="148" spans="2:6" x14ac:dyDescent="0.25">
      <c r="B148" s="71"/>
      <c r="C148" s="136"/>
      <c r="D148" s="136"/>
      <c r="E148" s="136"/>
      <c r="F148" s="149"/>
    </row>
    <row r="149" spans="2:6" x14ac:dyDescent="0.25">
      <c r="B149" s="71"/>
      <c r="C149" s="136"/>
      <c r="D149" s="136"/>
      <c r="E149" s="136"/>
      <c r="F149" s="149"/>
    </row>
    <row r="150" spans="2:6" x14ac:dyDescent="0.25">
      <c r="B150" s="71"/>
      <c r="C150" s="136"/>
      <c r="D150" s="136"/>
      <c r="E150" s="136"/>
      <c r="F150" s="149"/>
    </row>
    <row r="151" spans="2:6" x14ac:dyDescent="0.25">
      <c r="B151" s="71"/>
      <c r="C151" s="136"/>
      <c r="D151" s="136"/>
      <c r="E151" s="136"/>
      <c r="F151" s="149"/>
    </row>
    <row r="152" spans="2:6" x14ac:dyDescent="0.25">
      <c r="B152" s="71"/>
      <c r="C152" s="136"/>
      <c r="D152" s="136"/>
      <c r="E152" s="136"/>
      <c r="F152" s="149"/>
    </row>
    <row r="153" spans="2:6" x14ac:dyDescent="0.25">
      <c r="B153" s="71"/>
      <c r="C153" s="136"/>
      <c r="D153" s="136"/>
      <c r="E153" s="136"/>
      <c r="F153" s="149"/>
    </row>
    <row r="154" spans="2:6" x14ac:dyDescent="0.25">
      <c r="B154" s="71"/>
      <c r="C154" s="136"/>
      <c r="D154" s="136"/>
      <c r="E154" s="136"/>
      <c r="F154" s="149"/>
    </row>
    <row r="155" spans="2:6" x14ac:dyDescent="0.25">
      <c r="B155" s="71"/>
      <c r="C155" s="136"/>
      <c r="D155" s="136"/>
      <c r="E155" s="136"/>
      <c r="F155" s="149"/>
    </row>
    <row r="156" spans="2:6" x14ac:dyDescent="0.25">
      <c r="B156" s="71"/>
      <c r="C156" s="136"/>
      <c r="D156" s="136"/>
      <c r="E156" s="136"/>
      <c r="F156" s="149"/>
    </row>
    <row r="157" spans="2:6" x14ac:dyDescent="0.25">
      <c r="B157" s="71"/>
      <c r="C157" s="136"/>
      <c r="D157" s="136"/>
      <c r="E157" s="136"/>
      <c r="F157" s="149"/>
    </row>
    <row r="158" spans="2:6" x14ac:dyDescent="0.25">
      <c r="B158" s="71"/>
      <c r="C158" s="136"/>
      <c r="D158" s="136"/>
      <c r="E158" s="136"/>
      <c r="F158" s="149"/>
    </row>
    <row r="159" spans="2:6" x14ac:dyDescent="0.25">
      <c r="B159" s="71"/>
      <c r="C159" s="136"/>
      <c r="D159" s="136"/>
      <c r="E159" s="136"/>
      <c r="F159" s="149"/>
    </row>
    <row r="160" spans="2:6" x14ac:dyDescent="0.25">
      <c r="B160" s="71"/>
      <c r="C160" s="136"/>
      <c r="D160" s="136"/>
      <c r="E160" s="136"/>
      <c r="F160" s="149"/>
    </row>
    <row r="161" spans="2:6" x14ac:dyDescent="0.25">
      <c r="B161" s="71"/>
      <c r="C161" s="136"/>
      <c r="D161" s="136"/>
      <c r="E161" s="136"/>
      <c r="F161" s="149"/>
    </row>
    <row r="162" spans="2:6" x14ac:dyDescent="0.25">
      <c r="B162" s="71"/>
      <c r="C162" s="136"/>
      <c r="D162" s="136"/>
      <c r="E162" s="136"/>
      <c r="F162" s="149"/>
    </row>
    <row r="163" spans="2:6" x14ac:dyDescent="0.25">
      <c r="B163" s="71"/>
      <c r="C163" s="136"/>
      <c r="D163" s="136"/>
      <c r="E163" s="136"/>
      <c r="F163" s="149"/>
    </row>
    <row r="164" spans="2:6" x14ac:dyDescent="0.25">
      <c r="B164" s="71"/>
      <c r="C164" s="136"/>
      <c r="D164" s="136"/>
      <c r="E164" s="136"/>
      <c r="F164" s="149"/>
    </row>
    <row r="165" spans="2:6" x14ac:dyDescent="0.25">
      <c r="B165" s="71"/>
      <c r="C165" s="136"/>
      <c r="D165" s="136"/>
      <c r="E165" s="136"/>
      <c r="F165" s="149"/>
    </row>
    <row r="166" spans="2:6" x14ac:dyDescent="0.25">
      <c r="B166" s="71"/>
      <c r="C166" s="136"/>
      <c r="D166" s="136"/>
      <c r="E166" s="136"/>
      <c r="F166" s="149"/>
    </row>
    <row r="167" spans="2:6" x14ac:dyDescent="0.25">
      <c r="B167" s="71"/>
      <c r="C167" s="136"/>
      <c r="D167" s="136"/>
      <c r="E167" s="136"/>
      <c r="F167" s="149"/>
    </row>
    <row r="168" spans="2:6" x14ac:dyDescent="0.25">
      <c r="B168" s="71"/>
      <c r="C168" s="136"/>
      <c r="D168" s="136"/>
      <c r="E168" s="136"/>
      <c r="F168" s="149"/>
    </row>
    <row r="169" spans="2:6" x14ac:dyDescent="0.25">
      <c r="B169" s="71"/>
      <c r="C169" s="136"/>
      <c r="D169" s="136"/>
      <c r="E169" s="136"/>
      <c r="F169" s="149"/>
    </row>
    <row r="170" spans="2:6" x14ac:dyDescent="0.25">
      <c r="B170" s="71"/>
      <c r="C170" s="136"/>
      <c r="D170" s="136"/>
      <c r="E170" s="136"/>
      <c r="F170" s="149"/>
    </row>
    <row r="171" spans="2:6" x14ac:dyDescent="0.25">
      <c r="B171" s="71"/>
      <c r="C171" s="136"/>
      <c r="D171" s="136"/>
      <c r="E171" s="136"/>
      <c r="F171" s="149"/>
    </row>
    <row r="172" spans="2:6" x14ac:dyDescent="0.25">
      <c r="B172" s="71"/>
      <c r="C172" s="136"/>
      <c r="D172" s="136"/>
      <c r="E172" s="136"/>
      <c r="F172" s="149"/>
    </row>
    <row r="173" spans="2:6" x14ac:dyDescent="0.25">
      <c r="B173" s="71"/>
      <c r="C173" s="136"/>
      <c r="D173" s="136"/>
      <c r="E173" s="136"/>
      <c r="F173" s="149"/>
    </row>
    <row r="174" spans="2:6" x14ac:dyDescent="0.25">
      <c r="B174" s="71"/>
      <c r="C174" s="136"/>
      <c r="D174" s="136"/>
      <c r="E174" s="136"/>
      <c r="F174" s="149"/>
    </row>
    <row r="175" spans="2:6" x14ac:dyDescent="0.25">
      <c r="B175" s="71"/>
      <c r="C175" s="136"/>
      <c r="D175" s="136"/>
      <c r="E175" s="136"/>
      <c r="F175" s="149"/>
    </row>
    <row r="176" spans="2:6" x14ac:dyDescent="0.25">
      <c r="B176" s="71"/>
      <c r="C176" s="136"/>
      <c r="D176" s="136"/>
      <c r="E176" s="136"/>
      <c r="F176" s="149"/>
    </row>
    <row r="177" spans="2:6" x14ac:dyDescent="0.25">
      <c r="B177" s="71"/>
      <c r="C177" s="136"/>
      <c r="D177" s="136"/>
      <c r="E177" s="136"/>
      <c r="F177" s="149"/>
    </row>
    <row r="178" spans="2:6" x14ac:dyDescent="0.25">
      <c r="B178" s="71"/>
      <c r="C178" s="136"/>
      <c r="D178" s="136"/>
      <c r="E178" s="136"/>
      <c r="F178" s="149"/>
    </row>
    <row r="179" spans="2:6" x14ac:dyDescent="0.25">
      <c r="B179" s="71"/>
      <c r="C179" s="136"/>
      <c r="D179" s="136"/>
      <c r="E179" s="136"/>
      <c r="F179" s="149"/>
    </row>
    <row r="180" spans="2:6" x14ac:dyDescent="0.25">
      <c r="B180" s="71"/>
      <c r="C180" s="136"/>
      <c r="D180" s="136"/>
      <c r="E180" s="136"/>
      <c r="F180" s="149"/>
    </row>
    <row r="181" spans="2:6" x14ac:dyDescent="0.25">
      <c r="B181" s="71"/>
      <c r="C181" s="136"/>
      <c r="D181" s="136"/>
      <c r="E181" s="136"/>
      <c r="F181" s="149"/>
    </row>
    <row r="182" spans="2:6" x14ac:dyDescent="0.25">
      <c r="B182" s="71"/>
      <c r="C182" s="136"/>
      <c r="D182" s="136"/>
      <c r="E182" s="136"/>
      <c r="F182" s="149"/>
    </row>
    <row r="183" spans="2:6" x14ac:dyDescent="0.25">
      <c r="B183" s="71"/>
      <c r="C183" s="136"/>
      <c r="D183" s="136"/>
      <c r="E183" s="136"/>
      <c r="F183" s="149"/>
    </row>
    <row r="184" spans="2:6" x14ac:dyDescent="0.25">
      <c r="B184" s="71"/>
      <c r="C184" s="136"/>
      <c r="D184" s="136"/>
      <c r="E184" s="136"/>
      <c r="F184" s="149"/>
    </row>
    <row r="185" spans="2:6" x14ac:dyDescent="0.25">
      <c r="B185" s="71"/>
      <c r="C185" s="136"/>
      <c r="D185" s="136"/>
      <c r="E185" s="136"/>
      <c r="F185" s="149"/>
    </row>
    <row r="186" spans="2:6" x14ac:dyDescent="0.25">
      <c r="B186" s="71"/>
      <c r="C186" s="136"/>
      <c r="D186" s="136"/>
      <c r="E186" s="136"/>
      <c r="F186" s="149"/>
    </row>
    <row r="187" spans="2:6" x14ac:dyDescent="0.25">
      <c r="B187" s="71"/>
      <c r="C187" s="136"/>
      <c r="D187" s="136"/>
      <c r="E187" s="136"/>
      <c r="F187" s="149"/>
    </row>
    <row r="188" spans="2:6" x14ac:dyDescent="0.25">
      <c r="B188" s="71"/>
      <c r="C188" s="136"/>
      <c r="D188" s="136"/>
      <c r="E188" s="136"/>
      <c r="F188" s="149"/>
    </row>
    <row r="189" spans="2:6" x14ac:dyDescent="0.25">
      <c r="B189" s="71"/>
      <c r="C189" s="136"/>
      <c r="D189" s="136"/>
      <c r="E189" s="136"/>
      <c r="F189" s="149"/>
    </row>
    <row r="190" spans="2:6" x14ac:dyDescent="0.25">
      <c r="B190" s="71"/>
      <c r="C190" s="136"/>
      <c r="D190" s="136"/>
      <c r="E190" s="136"/>
      <c r="F190" s="149"/>
    </row>
    <row r="191" spans="2:6" x14ac:dyDescent="0.25">
      <c r="B191" s="71"/>
      <c r="C191" s="136"/>
      <c r="D191" s="136"/>
      <c r="E191" s="136"/>
      <c r="F191" s="149"/>
    </row>
    <row r="192" spans="2:6" x14ac:dyDescent="0.25">
      <c r="B192" s="71"/>
      <c r="C192" s="136"/>
      <c r="D192" s="136"/>
      <c r="E192" s="136"/>
      <c r="F192" s="149"/>
    </row>
    <row r="193" spans="2:6" x14ac:dyDescent="0.25">
      <c r="B193" s="71"/>
      <c r="C193" s="136"/>
      <c r="D193" s="136"/>
      <c r="E193" s="136"/>
      <c r="F193" s="149"/>
    </row>
    <row r="194" spans="2:6" x14ac:dyDescent="0.25">
      <c r="B194" s="71"/>
      <c r="C194" s="136"/>
      <c r="D194" s="136"/>
      <c r="E194" s="136"/>
      <c r="F194" s="149"/>
    </row>
    <row r="195" spans="2:6" x14ac:dyDescent="0.25">
      <c r="B195" s="71"/>
      <c r="C195" s="136"/>
      <c r="D195" s="136"/>
      <c r="E195" s="136"/>
      <c r="F195" s="149"/>
    </row>
    <row r="196" spans="2:6" x14ac:dyDescent="0.25">
      <c r="B196" s="71"/>
      <c r="C196" s="136"/>
      <c r="D196" s="136"/>
      <c r="E196" s="136"/>
      <c r="F196" s="149"/>
    </row>
    <row r="197" spans="2:6" x14ac:dyDescent="0.25">
      <c r="B197" s="71"/>
      <c r="C197" s="136"/>
      <c r="D197" s="136"/>
      <c r="E197" s="136"/>
      <c r="F197" s="149"/>
    </row>
    <row r="198" spans="2:6" x14ac:dyDescent="0.25">
      <c r="B198" s="71"/>
      <c r="C198" s="136"/>
      <c r="D198" s="136"/>
      <c r="E198" s="136"/>
      <c r="F198" s="149"/>
    </row>
    <row r="199" spans="2:6" x14ac:dyDescent="0.25">
      <c r="B199" s="71"/>
      <c r="C199" s="136"/>
      <c r="D199" s="136"/>
      <c r="E199" s="136"/>
      <c r="F199" s="149"/>
    </row>
    <row r="200" spans="2:6" x14ac:dyDescent="0.25">
      <c r="B200" s="71"/>
      <c r="C200" s="136"/>
      <c r="D200" s="136"/>
      <c r="E200" s="136"/>
      <c r="F200" s="149"/>
    </row>
    <row r="201" spans="2:6" x14ac:dyDescent="0.25">
      <c r="B201" s="71"/>
      <c r="C201" s="136"/>
      <c r="D201" s="136"/>
      <c r="E201" s="136"/>
      <c r="F201" s="149"/>
    </row>
    <row r="202" spans="2:6" x14ac:dyDescent="0.25">
      <c r="B202" s="71"/>
      <c r="C202" s="136"/>
      <c r="D202" s="136"/>
      <c r="E202" s="136"/>
      <c r="F202" s="149"/>
    </row>
    <row r="203" spans="2:6" x14ac:dyDescent="0.25">
      <c r="B203" s="71"/>
      <c r="C203" s="136"/>
      <c r="D203" s="136"/>
      <c r="E203" s="136"/>
      <c r="F203" s="149"/>
    </row>
    <row r="204" spans="2:6" x14ac:dyDescent="0.25">
      <c r="B204" s="71"/>
      <c r="C204" s="136"/>
      <c r="D204" s="136"/>
      <c r="E204" s="136"/>
      <c r="F204" s="149"/>
    </row>
    <row r="205" spans="2:6" x14ac:dyDescent="0.25">
      <c r="B205" s="71"/>
      <c r="C205" s="136"/>
      <c r="D205" s="136"/>
      <c r="E205" s="136"/>
      <c r="F205" s="149"/>
    </row>
    <row r="206" spans="2:6" x14ac:dyDescent="0.25">
      <c r="B206" s="71"/>
      <c r="C206" s="136"/>
      <c r="D206" s="136"/>
      <c r="E206" s="136"/>
      <c r="F206" s="149"/>
    </row>
    <row r="207" spans="2:6" x14ac:dyDescent="0.25">
      <c r="B207" s="71"/>
      <c r="C207" s="136"/>
      <c r="D207" s="136"/>
      <c r="E207" s="136"/>
      <c r="F207" s="149"/>
    </row>
    <row r="208" spans="2:6" x14ac:dyDescent="0.25">
      <c r="B208" s="71"/>
      <c r="C208" s="136"/>
      <c r="D208" s="136"/>
      <c r="E208" s="136"/>
      <c r="F208" s="149"/>
    </row>
    <row r="209" spans="2:6" x14ac:dyDescent="0.25">
      <c r="B209" s="71"/>
      <c r="C209" s="136"/>
      <c r="D209" s="136"/>
      <c r="E209" s="136"/>
      <c r="F209" s="149"/>
    </row>
    <row r="210" spans="2:6" x14ac:dyDescent="0.25">
      <c r="B210" s="71"/>
      <c r="C210" s="136"/>
      <c r="D210" s="136"/>
      <c r="E210" s="136"/>
      <c r="F210" s="149"/>
    </row>
    <row r="211" spans="2:6" x14ac:dyDescent="0.25">
      <c r="B211" s="71"/>
      <c r="C211" s="136"/>
      <c r="D211" s="136"/>
      <c r="E211" s="136"/>
      <c r="F211" s="149"/>
    </row>
    <row r="212" spans="2:6" x14ac:dyDescent="0.25">
      <c r="B212" s="71"/>
      <c r="C212" s="136"/>
      <c r="D212" s="136"/>
      <c r="E212" s="136"/>
      <c r="F212" s="149"/>
    </row>
    <row r="213" spans="2:6" x14ac:dyDescent="0.25">
      <c r="B213" s="71"/>
      <c r="C213" s="136"/>
      <c r="D213" s="136"/>
      <c r="E213" s="136"/>
      <c r="F213" s="149"/>
    </row>
    <row r="214" spans="2:6" x14ac:dyDescent="0.25">
      <c r="B214" s="71"/>
      <c r="C214" s="136"/>
      <c r="D214" s="136"/>
      <c r="E214" s="136"/>
      <c r="F214" s="149"/>
    </row>
    <row r="215" spans="2:6" x14ac:dyDescent="0.25">
      <c r="B215" s="71"/>
      <c r="C215" s="136"/>
      <c r="D215" s="136"/>
      <c r="E215" s="136"/>
      <c r="F215" s="149"/>
    </row>
    <row r="216" spans="2:6" x14ac:dyDescent="0.25">
      <c r="B216" s="71"/>
      <c r="C216" s="136"/>
      <c r="D216" s="136"/>
      <c r="E216" s="136"/>
      <c r="F216" s="149"/>
    </row>
    <row r="217" spans="2:6" x14ac:dyDescent="0.25">
      <c r="B217" s="71"/>
      <c r="C217" s="136"/>
      <c r="D217" s="136"/>
      <c r="E217" s="136"/>
      <c r="F217" s="149"/>
    </row>
    <row r="218" spans="2:6" x14ac:dyDescent="0.25">
      <c r="B218" s="71"/>
      <c r="C218" s="136"/>
      <c r="D218" s="136"/>
      <c r="E218" s="136"/>
      <c r="F218" s="149"/>
    </row>
    <row r="219" spans="2:6" x14ac:dyDescent="0.25">
      <c r="B219" s="71"/>
      <c r="C219" s="136"/>
      <c r="D219" s="136"/>
      <c r="E219" s="136"/>
      <c r="F219" s="149"/>
    </row>
    <row r="220" spans="2:6" x14ac:dyDescent="0.25">
      <c r="B220" s="71"/>
      <c r="C220" s="136"/>
      <c r="D220" s="136"/>
      <c r="E220" s="136"/>
      <c r="F220" s="149"/>
    </row>
    <row r="221" spans="2:6" x14ac:dyDescent="0.25">
      <c r="B221" s="71"/>
      <c r="C221" s="136"/>
      <c r="D221" s="136"/>
      <c r="E221" s="136"/>
      <c r="F221" s="149"/>
    </row>
    <row r="222" spans="2:6" x14ac:dyDescent="0.25">
      <c r="B222" s="71"/>
      <c r="C222" s="136"/>
      <c r="D222" s="136"/>
      <c r="E222" s="136"/>
      <c r="F222" s="149"/>
    </row>
    <row r="223" spans="2:6" x14ac:dyDescent="0.25">
      <c r="B223" s="71"/>
      <c r="C223" s="136"/>
      <c r="D223" s="136"/>
      <c r="E223" s="136"/>
      <c r="F223" s="149"/>
    </row>
    <row r="224" spans="2:6" x14ac:dyDescent="0.25">
      <c r="B224" s="71"/>
      <c r="C224" s="136"/>
      <c r="D224" s="136"/>
      <c r="E224" s="136"/>
      <c r="F224" s="149"/>
    </row>
    <row r="225" spans="2:6" x14ac:dyDescent="0.25">
      <c r="B225" s="71"/>
      <c r="C225" s="136"/>
      <c r="D225" s="136"/>
      <c r="E225" s="136"/>
      <c r="F225" s="149"/>
    </row>
    <row r="226" spans="2:6" x14ac:dyDescent="0.25">
      <c r="B226" s="71"/>
      <c r="C226" s="136"/>
      <c r="D226" s="136"/>
      <c r="E226" s="136"/>
      <c r="F226" s="149"/>
    </row>
    <row r="227" spans="2:6" x14ac:dyDescent="0.25">
      <c r="B227" s="71"/>
      <c r="C227" s="136"/>
      <c r="D227" s="136"/>
      <c r="E227" s="136"/>
      <c r="F227" s="149"/>
    </row>
    <row r="228" spans="2:6" x14ac:dyDescent="0.25">
      <c r="B228" s="71"/>
      <c r="C228" s="136"/>
      <c r="D228" s="136"/>
      <c r="E228" s="136"/>
      <c r="F228" s="149"/>
    </row>
    <row r="229" spans="2:6" x14ac:dyDescent="0.25">
      <c r="B229" s="71"/>
      <c r="C229" s="136"/>
      <c r="D229" s="136"/>
      <c r="E229" s="136"/>
      <c r="F229" s="149"/>
    </row>
    <row r="230" spans="2:6" x14ac:dyDescent="0.25">
      <c r="B230" s="71"/>
      <c r="C230" s="136"/>
      <c r="D230" s="136"/>
      <c r="E230" s="136"/>
      <c r="F230" s="149"/>
    </row>
    <row r="231" spans="2:6" x14ac:dyDescent="0.25">
      <c r="B231" s="71"/>
      <c r="C231" s="136"/>
      <c r="D231" s="136"/>
      <c r="E231" s="136"/>
      <c r="F231" s="149"/>
    </row>
    <row r="232" spans="2:6" x14ac:dyDescent="0.25">
      <c r="B232" s="71"/>
      <c r="C232" s="136"/>
      <c r="D232" s="136"/>
      <c r="E232" s="136"/>
      <c r="F232" s="149"/>
    </row>
    <row r="233" spans="2:6" x14ac:dyDescent="0.25">
      <c r="B233" s="71"/>
      <c r="C233" s="136"/>
      <c r="D233" s="136"/>
      <c r="E233" s="136"/>
      <c r="F233" s="149"/>
    </row>
    <row r="234" spans="2:6" x14ac:dyDescent="0.25">
      <c r="B234" s="71"/>
      <c r="C234" s="136"/>
      <c r="D234" s="136"/>
      <c r="E234" s="136"/>
      <c r="F234" s="149"/>
    </row>
    <row r="235" spans="2:6" x14ac:dyDescent="0.25">
      <c r="B235" s="71"/>
      <c r="C235" s="136"/>
      <c r="D235" s="136"/>
      <c r="E235" s="136"/>
      <c r="F235" s="149"/>
    </row>
    <row r="236" spans="2:6" x14ac:dyDescent="0.25">
      <c r="B236" s="71"/>
      <c r="C236" s="136"/>
      <c r="D236" s="136"/>
      <c r="E236" s="136"/>
      <c r="F236" s="149"/>
    </row>
    <row r="237" spans="2:6" x14ac:dyDescent="0.25">
      <c r="B237" s="71"/>
      <c r="C237" s="136"/>
      <c r="D237" s="136"/>
      <c r="E237" s="136"/>
      <c r="F237" s="149"/>
    </row>
    <row r="238" spans="2:6" x14ac:dyDescent="0.25">
      <c r="B238" s="71"/>
      <c r="C238" s="136"/>
      <c r="D238" s="136"/>
      <c r="E238" s="136"/>
      <c r="F238" s="149"/>
    </row>
    <row r="239" spans="2:6" x14ac:dyDescent="0.25">
      <c r="B239" s="71"/>
      <c r="C239" s="136"/>
      <c r="D239" s="136"/>
      <c r="E239" s="136"/>
      <c r="F239" s="149"/>
    </row>
    <row r="240" spans="2:6" x14ac:dyDescent="0.25">
      <c r="B240" s="71"/>
      <c r="C240" s="136"/>
      <c r="D240" s="136"/>
      <c r="E240" s="136"/>
      <c r="F240" s="149"/>
    </row>
    <row r="241" spans="2:6" x14ac:dyDescent="0.25">
      <c r="B241" s="71"/>
      <c r="C241" s="136"/>
      <c r="D241" s="136"/>
      <c r="E241" s="136"/>
      <c r="F241" s="149"/>
    </row>
    <row r="242" spans="2:6" x14ac:dyDescent="0.25">
      <c r="B242" s="71"/>
      <c r="C242" s="136"/>
      <c r="D242" s="136"/>
      <c r="E242" s="136"/>
      <c r="F242" s="149"/>
    </row>
    <row r="243" spans="2:6" x14ac:dyDescent="0.25">
      <c r="B243" s="71"/>
      <c r="C243" s="136"/>
      <c r="D243" s="136"/>
      <c r="E243" s="136"/>
      <c r="F243" s="149"/>
    </row>
    <row r="244" spans="2:6" x14ac:dyDescent="0.25">
      <c r="B244" s="71"/>
      <c r="C244" s="136"/>
      <c r="D244" s="136"/>
      <c r="E244" s="136"/>
      <c r="F244" s="149"/>
    </row>
    <row r="245" spans="2:6" x14ac:dyDescent="0.25">
      <c r="B245" s="71"/>
      <c r="C245" s="136"/>
      <c r="D245" s="136"/>
      <c r="E245" s="136"/>
      <c r="F245" s="149"/>
    </row>
    <row r="246" spans="2:6" x14ac:dyDescent="0.25">
      <c r="B246" s="71"/>
      <c r="C246" s="136"/>
      <c r="D246" s="136"/>
      <c r="E246" s="136"/>
      <c r="F246" s="149"/>
    </row>
    <row r="247" spans="2:6" x14ac:dyDescent="0.25">
      <c r="B247" s="71"/>
      <c r="C247" s="136"/>
      <c r="D247" s="136"/>
      <c r="E247" s="136"/>
      <c r="F247" s="149"/>
    </row>
    <row r="248" spans="2:6" x14ac:dyDescent="0.25">
      <c r="B248" s="71"/>
      <c r="C248" s="136"/>
      <c r="D248" s="136"/>
      <c r="E248" s="136"/>
      <c r="F248" s="149"/>
    </row>
    <row r="249" spans="2:6" x14ac:dyDescent="0.25">
      <c r="B249" s="71"/>
      <c r="C249" s="136"/>
      <c r="D249" s="136"/>
      <c r="E249" s="136"/>
      <c r="F249" s="149"/>
    </row>
    <row r="250" spans="2:6" x14ac:dyDescent="0.25">
      <c r="B250" s="71"/>
      <c r="C250" s="136"/>
      <c r="D250" s="136"/>
      <c r="E250" s="136"/>
      <c r="F250" s="149"/>
    </row>
    <row r="251" spans="2:6" x14ac:dyDescent="0.25">
      <c r="B251" s="71"/>
      <c r="C251" s="136"/>
      <c r="D251" s="136"/>
      <c r="E251" s="136"/>
      <c r="F251" s="149"/>
    </row>
    <row r="252" spans="2:6" x14ac:dyDescent="0.25">
      <c r="B252" s="71"/>
      <c r="C252" s="136"/>
      <c r="D252" s="136"/>
      <c r="E252" s="136"/>
      <c r="F252" s="149"/>
    </row>
    <row r="253" spans="2:6" x14ac:dyDescent="0.25">
      <c r="B253" s="71"/>
      <c r="C253" s="136"/>
      <c r="D253" s="136"/>
      <c r="E253" s="136"/>
      <c r="F253" s="149"/>
    </row>
    <row r="254" spans="2:6" x14ac:dyDescent="0.25">
      <c r="B254" s="71"/>
      <c r="C254" s="136"/>
      <c r="D254" s="136"/>
      <c r="E254" s="136"/>
      <c r="F254" s="149"/>
    </row>
    <row r="255" spans="2:6" x14ac:dyDescent="0.25">
      <c r="B255" s="71"/>
      <c r="C255" s="136"/>
      <c r="D255" s="136"/>
      <c r="E255" s="136"/>
      <c r="F255" s="149"/>
    </row>
    <row r="256" spans="2:6" x14ac:dyDescent="0.25">
      <c r="B256" s="71"/>
      <c r="C256" s="136"/>
      <c r="D256" s="136"/>
      <c r="E256" s="136"/>
      <c r="F256" s="149"/>
    </row>
    <row r="257" spans="2:6" x14ac:dyDescent="0.25">
      <c r="B257" s="71"/>
      <c r="C257" s="136"/>
      <c r="D257" s="136"/>
      <c r="E257" s="136"/>
      <c r="F257" s="149"/>
    </row>
    <row r="258" spans="2:6" x14ac:dyDescent="0.25">
      <c r="B258" s="71"/>
      <c r="C258" s="136"/>
      <c r="D258" s="136"/>
      <c r="E258" s="136"/>
      <c r="F258" s="149"/>
    </row>
    <row r="259" spans="2:6" x14ac:dyDescent="0.25">
      <c r="B259" s="71"/>
      <c r="C259" s="136"/>
      <c r="D259" s="136"/>
      <c r="E259" s="136"/>
      <c r="F259" s="149"/>
    </row>
    <row r="260" spans="2:6" x14ac:dyDescent="0.25">
      <c r="B260" s="71"/>
      <c r="C260" s="136"/>
      <c r="D260" s="136"/>
      <c r="E260" s="136"/>
      <c r="F260" s="149"/>
    </row>
    <row r="261" spans="2:6" x14ac:dyDescent="0.25">
      <c r="B261" s="71"/>
      <c r="C261" s="136"/>
      <c r="D261" s="136"/>
      <c r="E261" s="136"/>
      <c r="F261" s="149"/>
    </row>
    <row r="262" spans="2:6" x14ac:dyDescent="0.25">
      <c r="B262" s="71"/>
      <c r="C262" s="136"/>
      <c r="D262" s="136"/>
      <c r="E262" s="136"/>
      <c r="F262" s="149"/>
    </row>
    <row r="263" spans="2:6" x14ac:dyDescent="0.25">
      <c r="B263" s="71"/>
      <c r="C263" s="136"/>
      <c r="D263" s="136"/>
      <c r="E263" s="136"/>
      <c r="F263" s="149"/>
    </row>
    <row r="264" spans="2:6" x14ac:dyDescent="0.25">
      <c r="B264" s="71"/>
      <c r="C264" s="136"/>
      <c r="D264" s="136"/>
      <c r="E264" s="136"/>
      <c r="F264" s="149"/>
    </row>
    <row r="265" spans="2:6" x14ac:dyDescent="0.25">
      <c r="B265" s="71"/>
      <c r="C265" s="136"/>
      <c r="D265" s="136"/>
      <c r="E265" s="136"/>
      <c r="F265" s="149"/>
    </row>
    <row r="266" spans="2:6" x14ac:dyDescent="0.25">
      <c r="B266" s="71"/>
      <c r="C266" s="136"/>
      <c r="D266" s="136"/>
      <c r="E266" s="136"/>
      <c r="F266" s="149"/>
    </row>
    <row r="267" spans="2:6" x14ac:dyDescent="0.25">
      <c r="B267" s="71"/>
      <c r="C267" s="136"/>
      <c r="D267" s="136"/>
      <c r="E267" s="136"/>
      <c r="F267" s="149"/>
    </row>
    <row r="268" spans="2:6" x14ac:dyDescent="0.25">
      <c r="B268" s="71"/>
      <c r="C268" s="136"/>
      <c r="D268" s="136"/>
      <c r="E268" s="136"/>
      <c r="F268" s="149"/>
    </row>
    <row r="269" spans="2:6" x14ac:dyDescent="0.25">
      <c r="B269" s="71"/>
      <c r="C269" s="136"/>
      <c r="D269" s="136"/>
      <c r="E269" s="136"/>
      <c r="F269" s="149"/>
    </row>
    <row r="270" spans="2:6" x14ac:dyDescent="0.25">
      <c r="B270" s="71"/>
      <c r="C270" s="136"/>
      <c r="D270" s="136"/>
      <c r="E270" s="136"/>
      <c r="F270" s="149"/>
    </row>
    <row r="271" spans="2:6" x14ac:dyDescent="0.25">
      <c r="B271" s="71"/>
      <c r="C271" s="136"/>
      <c r="D271" s="136"/>
      <c r="E271" s="136"/>
      <c r="F271" s="149"/>
    </row>
    <row r="272" spans="2:6" x14ac:dyDescent="0.25">
      <c r="B272" s="71"/>
      <c r="C272" s="136"/>
      <c r="D272" s="136"/>
      <c r="E272" s="136"/>
      <c r="F272" s="149"/>
    </row>
    <row r="273" spans="2:6" x14ac:dyDescent="0.25">
      <c r="B273" s="71"/>
      <c r="C273" s="136"/>
      <c r="D273" s="136"/>
      <c r="E273" s="136"/>
      <c r="F273" s="149"/>
    </row>
    <row r="274" spans="2:6" x14ac:dyDescent="0.25">
      <c r="B274" s="71"/>
      <c r="C274" s="136"/>
      <c r="D274" s="136"/>
      <c r="E274" s="136"/>
      <c r="F274" s="149"/>
    </row>
    <row r="275" spans="2:6" x14ac:dyDescent="0.25">
      <c r="B275" s="71"/>
      <c r="C275" s="136"/>
      <c r="D275" s="136"/>
      <c r="E275" s="136"/>
      <c r="F275" s="149"/>
    </row>
    <row r="276" spans="2:6" x14ac:dyDescent="0.25">
      <c r="B276" s="71"/>
      <c r="C276" s="136"/>
      <c r="D276" s="136"/>
      <c r="E276" s="136"/>
      <c r="F276" s="149"/>
    </row>
    <row r="277" spans="2:6" x14ac:dyDescent="0.25">
      <c r="B277" s="71"/>
      <c r="C277" s="136"/>
      <c r="D277" s="136"/>
      <c r="E277" s="136"/>
      <c r="F277" s="149"/>
    </row>
    <row r="278" spans="2:6" x14ac:dyDescent="0.25">
      <c r="B278" s="71"/>
      <c r="C278" s="136"/>
      <c r="D278" s="136"/>
      <c r="E278" s="136"/>
      <c r="F278" s="149"/>
    </row>
    <row r="279" spans="2:6" x14ac:dyDescent="0.25">
      <c r="B279" s="71"/>
      <c r="C279" s="136"/>
      <c r="D279" s="136"/>
      <c r="E279" s="136"/>
      <c r="F279" s="149"/>
    </row>
    <row r="280" spans="2:6" x14ac:dyDescent="0.25">
      <c r="B280" s="71"/>
      <c r="C280" s="136"/>
      <c r="D280" s="136"/>
      <c r="E280" s="136"/>
      <c r="F280" s="149"/>
    </row>
    <row r="281" spans="2:6" x14ac:dyDescent="0.25">
      <c r="B281" s="71"/>
      <c r="C281" s="136"/>
      <c r="D281" s="136"/>
      <c r="E281" s="136"/>
      <c r="F281" s="149"/>
    </row>
    <row r="282" spans="2:6" x14ac:dyDescent="0.25">
      <c r="B282" s="71"/>
      <c r="C282" s="136"/>
      <c r="D282" s="136"/>
      <c r="E282" s="136"/>
      <c r="F282" s="149"/>
    </row>
    <row r="283" spans="2:6" x14ac:dyDescent="0.25">
      <c r="B283" s="71"/>
      <c r="C283" s="136"/>
      <c r="D283" s="136"/>
      <c r="E283" s="136"/>
      <c r="F283" s="149"/>
    </row>
    <row r="284" spans="2:6" x14ac:dyDescent="0.25">
      <c r="B284" s="71"/>
      <c r="C284" s="136"/>
      <c r="D284" s="136"/>
      <c r="E284" s="136"/>
      <c r="F284" s="149"/>
    </row>
    <row r="285" spans="2:6" x14ac:dyDescent="0.25">
      <c r="B285" s="71"/>
      <c r="C285" s="136"/>
      <c r="D285" s="136"/>
      <c r="E285" s="136"/>
      <c r="F285" s="149"/>
    </row>
    <row r="286" spans="2:6" x14ac:dyDescent="0.25">
      <c r="B286" s="71"/>
      <c r="C286" s="136"/>
      <c r="D286" s="136"/>
      <c r="E286" s="136"/>
      <c r="F286" s="149"/>
    </row>
    <row r="287" spans="2:6" x14ac:dyDescent="0.25">
      <c r="B287" s="71"/>
      <c r="C287" s="136"/>
      <c r="D287" s="136"/>
      <c r="E287" s="136"/>
      <c r="F287" s="149"/>
    </row>
    <row r="288" spans="2:6" x14ac:dyDescent="0.25">
      <c r="B288" s="71"/>
      <c r="C288" s="136"/>
      <c r="D288" s="136"/>
      <c r="E288" s="136"/>
      <c r="F288" s="149"/>
    </row>
    <row r="289" spans="2:6" x14ac:dyDescent="0.25">
      <c r="B289" s="71"/>
      <c r="C289" s="136"/>
      <c r="D289" s="136"/>
      <c r="E289" s="136"/>
      <c r="F289" s="149"/>
    </row>
    <row r="290" spans="2:6" x14ac:dyDescent="0.25">
      <c r="B290" s="71"/>
      <c r="C290" s="136"/>
      <c r="D290" s="136"/>
      <c r="E290" s="136"/>
      <c r="F290" s="149"/>
    </row>
    <row r="291" spans="2:6" x14ac:dyDescent="0.25">
      <c r="B291" s="71"/>
      <c r="C291" s="136"/>
      <c r="D291" s="136"/>
      <c r="E291" s="136"/>
      <c r="F291" s="149"/>
    </row>
    <row r="292" spans="2:6" x14ac:dyDescent="0.25">
      <c r="B292" s="71"/>
      <c r="C292" s="136"/>
      <c r="D292" s="136"/>
      <c r="E292" s="136"/>
      <c r="F292" s="149"/>
    </row>
    <row r="293" spans="2:6" x14ac:dyDescent="0.25">
      <c r="B293" s="71"/>
      <c r="C293" s="136"/>
      <c r="D293" s="136"/>
      <c r="E293" s="136"/>
      <c r="F293" s="149"/>
    </row>
    <row r="294" spans="2:6" x14ac:dyDescent="0.25">
      <c r="B294" s="71"/>
      <c r="C294" s="136"/>
      <c r="D294" s="136"/>
      <c r="E294" s="136"/>
      <c r="F294" s="149"/>
    </row>
    <row r="295" spans="2:6" x14ac:dyDescent="0.25">
      <c r="B295" s="71"/>
      <c r="C295" s="136"/>
      <c r="D295" s="136"/>
      <c r="E295" s="136"/>
      <c r="F295" s="149"/>
    </row>
    <row r="296" spans="2:6" x14ac:dyDescent="0.25">
      <c r="B296" s="71"/>
      <c r="C296" s="136"/>
      <c r="D296" s="136"/>
      <c r="E296" s="136"/>
      <c r="F296" s="149"/>
    </row>
    <row r="297" spans="2:6" x14ac:dyDescent="0.25">
      <c r="B297" s="71"/>
      <c r="C297" s="136"/>
      <c r="D297" s="136"/>
      <c r="E297" s="136"/>
      <c r="F297" s="149"/>
    </row>
    <row r="298" spans="2:6" x14ac:dyDescent="0.25">
      <c r="B298" s="71"/>
      <c r="C298" s="136"/>
      <c r="D298" s="136"/>
      <c r="E298" s="136"/>
      <c r="F298" s="149"/>
    </row>
    <row r="299" spans="2:6" x14ac:dyDescent="0.25">
      <c r="B299" s="71"/>
      <c r="C299" s="136"/>
      <c r="D299" s="136"/>
      <c r="E299" s="136"/>
      <c r="F299" s="149"/>
    </row>
    <row r="300" spans="2:6" x14ac:dyDescent="0.25">
      <c r="B300" s="71"/>
      <c r="C300" s="136"/>
      <c r="D300" s="136"/>
      <c r="E300" s="136"/>
      <c r="F300" s="149"/>
    </row>
    <row r="301" spans="2:6" x14ac:dyDescent="0.25">
      <c r="B301" s="71"/>
      <c r="C301" s="136"/>
      <c r="D301" s="136"/>
      <c r="E301" s="136"/>
      <c r="F301" s="149"/>
    </row>
    <row r="302" spans="2:6" x14ac:dyDescent="0.25">
      <c r="B302" s="71"/>
      <c r="C302" s="136"/>
      <c r="D302" s="136"/>
      <c r="E302" s="136"/>
      <c r="F302" s="149"/>
    </row>
    <row r="303" spans="2:6" x14ac:dyDescent="0.25">
      <c r="B303" s="71"/>
      <c r="C303" s="136"/>
      <c r="D303" s="136"/>
      <c r="E303" s="136"/>
      <c r="F303" s="149"/>
    </row>
    <row r="304" spans="2:6" x14ac:dyDescent="0.25">
      <c r="B304" s="71"/>
      <c r="C304" s="136"/>
      <c r="D304" s="136"/>
      <c r="E304" s="136"/>
      <c r="F304" s="149"/>
    </row>
    <row r="305" spans="2:6" x14ac:dyDescent="0.25">
      <c r="B305" s="71"/>
      <c r="C305" s="136"/>
      <c r="D305" s="136"/>
      <c r="E305" s="136"/>
      <c r="F305" s="149"/>
    </row>
    <row r="306" spans="2:6" x14ac:dyDescent="0.25">
      <c r="B306" s="71"/>
      <c r="C306" s="136"/>
      <c r="D306" s="136"/>
      <c r="E306" s="136"/>
      <c r="F306" s="149"/>
    </row>
    <row r="307" spans="2:6" x14ac:dyDescent="0.25">
      <c r="B307" s="71"/>
      <c r="C307" s="136"/>
      <c r="D307" s="136"/>
      <c r="E307" s="136"/>
      <c r="F307" s="149"/>
    </row>
    <row r="308" spans="2:6" x14ac:dyDescent="0.25">
      <c r="B308" s="71"/>
      <c r="C308" s="136"/>
      <c r="D308" s="136"/>
      <c r="E308" s="136"/>
      <c r="F308" s="149"/>
    </row>
    <row r="309" spans="2:6" x14ac:dyDescent="0.25">
      <c r="B309" s="71"/>
      <c r="C309" s="136"/>
      <c r="D309" s="136"/>
      <c r="E309" s="136"/>
      <c r="F309" s="149"/>
    </row>
    <row r="310" spans="2:6" x14ac:dyDescent="0.25">
      <c r="B310" s="71"/>
      <c r="C310" s="136"/>
      <c r="D310" s="136"/>
      <c r="E310" s="136"/>
      <c r="F310" s="149"/>
    </row>
    <row r="311" spans="2:6" x14ac:dyDescent="0.25">
      <c r="B311" s="71"/>
      <c r="C311" s="136"/>
      <c r="D311" s="136"/>
      <c r="E311" s="136"/>
      <c r="F311" s="149"/>
    </row>
    <row r="312" spans="2:6" x14ac:dyDescent="0.25">
      <c r="B312" s="71"/>
      <c r="C312" s="136"/>
      <c r="D312" s="136"/>
      <c r="E312" s="136"/>
      <c r="F312" s="149"/>
    </row>
    <row r="313" spans="2:6" x14ac:dyDescent="0.25">
      <c r="B313" s="71"/>
      <c r="C313" s="136"/>
      <c r="D313" s="136"/>
      <c r="E313" s="136"/>
      <c r="F313" s="149"/>
    </row>
    <row r="314" spans="2:6" x14ac:dyDescent="0.25">
      <c r="B314" s="71"/>
      <c r="C314" s="136"/>
      <c r="D314" s="136"/>
      <c r="E314" s="136"/>
      <c r="F314" s="149"/>
    </row>
    <row r="315" spans="2:6" x14ac:dyDescent="0.25">
      <c r="B315" s="71"/>
      <c r="C315" s="136"/>
      <c r="D315" s="136"/>
      <c r="E315" s="136"/>
      <c r="F315" s="149"/>
    </row>
    <row r="316" spans="2:6" x14ac:dyDescent="0.25">
      <c r="B316" s="71"/>
      <c r="C316" s="136"/>
      <c r="D316" s="136"/>
      <c r="E316" s="136"/>
      <c r="F316" s="149"/>
    </row>
    <row r="317" spans="2:6" x14ac:dyDescent="0.25">
      <c r="B317" s="71"/>
      <c r="C317" s="136"/>
      <c r="D317" s="136"/>
      <c r="E317" s="136"/>
      <c r="F317" s="149"/>
    </row>
    <row r="318" spans="2:6" x14ac:dyDescent="0.25">
      <c r="B318" s="71"/>
      <c r="C318" s="136"/>
      <c r="D318" s="136"/>
      <c r="E318" s="136"/>
      <c r="F318" s="149"/>
    </row>
    <row r="319" spans="2:6" x14ac:dyDescent="0.25">
      <c r="B319" s="71"/>
      <c r="C319" s="136"/>
      <c r="D319" s="136"/>
      <c r="E319" s="136"/>
      <c r="F319" s="149"/>
    </row>
    <row r="320" spans="2:6" x14ac:dyDescent="0.25">
      <c r="B320" s="71"/>
      <c r="C320" s="136"/>
      <c r="D320" s="136"/>
      <c r="E320" s="136"/>
      <c r="F320" s="149"/>
    </row>
    <row r="321" spans="2:6" x14ac:dyDescent="0.25">
      <c r="B321" s="71"/>
      <c r="C321" s="136"/>
      <c r="D321" s="136"/>
      <c r="E321" s="136"/>
      <c r="F321" s="149"/>
    </row>
    <row r="322" spans="2:6" x14ac:dyDescent="0.25">
      <c r="B322" s="71"/>
      <c r="C322" s="136"/>
      <c r="D322" s="136"/>
      <c r="E322" s="136"/>
      <c r="F322" s="149"/>
    </row>
    <row r="323" spans="2:6" x14ac:dyDescent="0.25">
      <c r="B323" s="71"/>
      <c r="C323" s="136"/>
      <c r="D323" s="136"/>
      <c r="E323" s="136"/>
      <c r="F323" s="149"/>
    </row>
    <row r="324" spans="2:6" x14ac:dyDescent="0.25">
      <c r="B324" s="71"/>
      <c r="C324" s="136"/>
      <c r="D324" s="136"/>
      <c r="E324" s="136"/>
      <c r="F324" s="149"/>
    </row>
    <row r="325" spans="2:6" x14ac:dyDescent="0.25">
      <c r="B325" s="71"/>
      <c r="C325" s="136"/>
      <c r="D325" s="136"/>
      <c r="E325" s="136"/>
      <c r="F325" s="149"/>
    </row>
    <row r="326" spans="2:6" x14ac:dyDescent="0.25">
      <c r="B326" s="71"/>
      <c r="C326" s="136"/>
      <c r="D326" s="136"/>
      <c r="E326" s="136"/>
      <c r="F326" s="149"/>
    </row>
    <row r="327" spans="2:6" x14ac:dyDescent="0.25">
      <c r="B327" s="71"/>
      <c r="C327" s="136"/>
      <c r="D327" s="136"/>
      <c r="E327" s="136"/>
      <c r="F327" s="149"/>
    </row>
    <row r="328" spans="2:6" x14ac:dyDescent="0.25">
      <c r="B328" s="71"/>
      <c r="C328" s="136"/>
      <c r="D328" s="136"/>
      <c r="E328" s="136"/>
      <c r="F328" s="149"/>
    </row>
    <row r="329" spans="2:6" x14ac:dyDescent="0.25">
      <c r="B329" s="71"/>
      <c r="C329" s="136"/>
      <c r="D329" s="136"/>
      <c r="E329" s="136"/>
      <c r="F329" s="149"/>
    </row>
    <row r="330" spans="2:6" x14ac:dyDescent="0.25">
      <c r="B330" s="71"/>
      <c r="C330" s="136"/>
      <c r="D330" s="136"/>
      <c r="E330" s="136"/>
      <c r="F330" s="149"/>
    </row>
    <row r="331" spans="2:6" x14ac:dyDescent="0.25">
      <c r="B331" s="71"/>
      <c r="C331" s="136"/>
      <c r="D331" s="136"/>
      <c r="E331" s="136"/>
      <c r="F331" s="149"/>
    </row>
    <row r="332" spans="2:6" x14ac:dyDescent="0.25">
      <c r="B332" s="71"/>
      <c r="C332" s="136"/>
      <c r="D332" s="136"/>
      <c r="E332" s="136"/>
      <c r="F332" s="149"/>
    </row>
    <row r="333" spans="2:6" x14ac:dyDescent="0.25">
      <c r="B333" s="71"/>
      <c r="C333" s="136"/>
      <c r="D333" s="136"/>
      <c r="E333" s="136"/>
      <c r="F333" s="149"/>
    </row>
    <row r="334" spans="2:6" x14ac:dyDescent="0.25">
      <c r="B334" s="71"/>
      <c r="C334" s="136"/>
      <c r="D334" s="136"/>
      <c r="E334" s="136"/>
      <c r="F334" s="149"/>
    </row>
    <row r="335" spans="2:6" x14ac:dyDescent="0.25">
      <c r="B335" s="71"/>
      <c r="C335" s="136"/>
      <c r="D335" s="136"/>
      <c r="E335" s="136"/>
      <c r="F335" s="149"/>
    </row>
    <row r="336" spans="2:6" x14ac:dyDescent="0.25">
      <c r="B336" s="71"/>
      <c r="C336" s="136"/>
      <c r="D336" s="136"/>
      <c r="E336" s="136"/>
      <c r="F336" s="149"/>
    </row>
    <row r="337" spans="2:6" x14ac:dyDescent="0.25">
      <c r="B337" s="71"/>
      <c r="C337" s="136"/>
      <c r="D337" s="136"/>
      <c r="E337" s="136"/>
      <c r="F337" s="149"/>
    </row>
    <row r="338" spans="2:6" x14ac:dyDescent="0.25">
      <c r="B338" s="71"/>
      <c r="C338" s="136"/>
      <c r="D338" s="136"/>
      <c r="E338" s="136"/>
      <c r="F338" s="149"/>
    </row>
    <row r="339" spans="2:6" x14ac:dyDescent="0.25">
      <c r="B339" s="71"/>
      <c r="C339" s="136"/>
      <c r="D339" s="136"/>
      <c r="E339" s="136"/>
      <c r="F339" s="149"/>
    </row>
    <row r="340" spans="2:6" x14ac:dyDescent="0.25">
      <c r="B340" s="71"/>
      <c r="C340" s="136"/>
      <c r="D340" s="136"/>
      <c r="E340" s="136"/>
      <c r="F340" s="149"/>
    </row>
    <row r="341" spans="2:6" x14ac:dyDescent="0.25">
      <c r="B341" s="71"/>
      <c r="C341" s="136"/>
      <c r="D341" s="136"/>
      <c r="E341" s="136"/>
      <c r="F341" s="149"/>
    </row>
    <row r="342" spans="2:6" x14ac:dyDescent="0.25">
      <c r="B342" s="71"/>
      <c r="C342" s="136"/>
      <c r="D342" s="136"/>
      <c r="E342" s="136"/>
      <c r="F342" s="149"/>
    </row>
    <row r="343" spans="2:6" x14ac:dyDescent="0.25">
      <c r="B343" s="71"/>
      <c r="C343" s="136"/>
      <c r="D343" s="136"/>
      <c r="E343" s="136"/>
      <c r="F343" s="149"/>
    </row>
    <row r="344" spans="2:6" x14ac:dyDescent="0.25">
      <c r="B344" s="71"/>
      <c r="C344" s="136"/>
      <c r="D344" s="136"/>
      <c r="E344" s="136"/>
      <c r="F344" s="149"/>
    </row>
    <row r="345" spans="2:6" x14ac:dyDescent="0.25">
      <c r="B345" s="71"/>
      <c r="C345" s="136"/>
      <c r="D345" s="136"/>
      <c r="E345" s="136"/>
      <c r="F345" s="149"/>
    </row>
    <row r="346" spans="2:6" x14ac:dyDescent="0.25">
      <c r="B346" s="71"/>
      <c r="C346" s="136"/>
      <c r="D346" s="136"/>
      <c r="E346" s="136"/>
      <c r="F346" s="149"/>
    </row>
    <row r="347" spans="2:6" x14ac:dyDescent="0.25">
      <c r="B347" s="71"/>
      <c r="C347" s="136"/>
      <c r="D347" s="136"/>
      <c r="E347" s="136"/>
      <c r="F347" s="149"/>
    </row>
    <row r="348" spans="2:6" x14ac:dyDescent="0.25">
      <c r="B348" s="71"/>
      <c r="C348" s="136"/>
      <c r="D348" s="136"/>
      <c r="E348" s="136"/>
      <c r="F348" s="149"/>
    </row>
    <row r="349" spans="2:6" x14ac:dyDescent="0.25">
      <c r="B349" s="71"/>
      <c r="C349" s="136"/>
      <c r="D349" s="136"/>
      <c r="E349" s="136"/>
      <c r="F349" s="149"/>
    </row>
    <row r="350" spans="2:6" x14ac:dyDescent="0.25">
      <c r="B350" s="71"/>
      <c r="C350" s="136"/>
      <c r="D350" s="136"/>
      <c r="E350" s="136"/>
      <c r="F350" s="149"/>
    </row>
    <row r="351" spans="2:6" x14ac:dyDescent="0.25">
      <c r="B351" s="71"/>
      <c r="C351" s="136"/>
      <c r="D351" s="136"/>
      <c r="E351" s="136"/>
      <c r="F351" s="149"/>
    </row>
    <row r="352" spans="2:6" x14ac:dyDescent="0.25">
      <c r="B352" s="71"/>
      <c r="C352" s="136"/>
      <c r="D352" s="136"/>
      <c r="E352" s="136"/>
      <c r="F352" s="149"/>
    </row>
    <row r="353" spans="2:6" x14ac:dyDescent="0.25">
      <c r="B353" s="71"/>
      <c r="C353" s="136"/>
      <c r="D353" s="136"/>
      <c r="E353" s="136"/>
      <c r="F353" s="149"/>
    </row>
    <row r="354" spans="2:6" x14ac:dyDescent="0.25">
      <c r="B354" s="71"/>
      <c r="C354" s="136"/>
      <c r="D354" s="136"/>
      <c r="E354" s="136"/>
      <c r="F354" s="149"/>
    </row>
    <row r="355" spans="2:6" x14ac:dyDescent="0.25">
      <c r="B355" s="71"/>
      <c r="C355" s="136"/>
      <c r="D355" s="136"/>
      <c r="E355" s="136"/>
      <c r="F355" s="149"/>
    </row>
    <row r="356" spans="2:6" x14ac:dyDescent="0.25">
      <c r="B356" s="71"/>
      <c r="C356" s="136"/>
      <c r="D356" s="136"/>
      <c r="E356" s="136"/>
      <c r="F356" s="149"/>
    </row>
    <row r="357" spans="2:6" x14ac:dyDescent="0.25">
      <c r="B357" s="71"/>
      <c r="C357" s="136"/>
      <c r="D357" s="136"/>
      <c r="E357" s="136"/>
      <c r="F357" s="149"/>
    </row>
    <row r="358" spans="2:6" x14ac:dyDescent="0.25">
      <c r="B358" s="71"/>
      <c r="C358" s="136"/>
      <c r="D358" s="136"/>
      <c r="E358" s="136"/>
      <c r="F358" s="149"/>
    </row>
    <row r="359" spans="2:6" x14ac:dyDescent="0.25">
      <c r="B359" s="71"/>
      <c r="C359" s="136"/>
      <c r="D359" s="136"/>
      <c r="E359" s="136"/>
      <c r="F359" s="149"/>
    </row>
    <row r="360" spans="2:6" x14ac:dyDescent="0.25">
      <c r="B360" s="71"/>
      <c r="C360" s="136"/>
      <c r="D360" s="136"/>
      <c r="E360" s="136"/>
      <c r="F360" s="149"/>
    </row>
    <row r="361" spans="2:6" x14ac:dyDescent="0.25">
      <c r="B361" s="71"/>
      <c r="C361" s="136"/>
      <c r="D361" s="136"/>
      <c r="E361" s="136"/>
      <c r="F361" s="149"/>
    </row>
    <row r="362" spans="2:6" x14ac:dyDescent="0.25">
      <c r="B362" s="71"/>
      <c r="C362" s="136"/>
      <c r="D362" s="136"/>
      <c r="E362" s="136"/>
      <c r="F362" s="149"/>
    </row>
    <row r="363" spans="2:6" x14ac:dyDescent="0.25">
      <c r="B363" s="71"/>
      <c r="C363" s="136"/>
      <c r="D363" s="136"/>
      <c r="E363" s="136"/>
      <c r="F363" s="149"/>
    </row>
    <row r="364" spans="2:6" x14ac:dyDescent="0.25">
      <c r="B364" s="71"/>
      <c r="C364" s="136"/>
      <c r="D364" s="136"/>
      <c r="E364" s="136"/>
      <c r="F364" s="149"/>
    </row>
    <row r="365" spans="2:6" x14ac:dyDescent="0.25">
      <c r="B365" s="71"/>
      <c r="C365" s="136"/>
      <c r="D365" s="136"/>
      <c r="E365" s="136"/>
      <c r="F365" s="149"/>
    </row>
    <row r="366" spans="2:6" x14ac:dyDescent="0.25">
      <c r="B366" s="71"/>
      <c r="C366" s="136"/>
      <c r="D366" s="136"/>
      <c r="E366" s="136"/>
      <c r="F366" s="149"/>
    </row>
    <row r="367" spans="2:6" x14ac:dyDescent="0.25">
      <c r="B367" s="71"/>
      <c r="C367" s="136"/>
      <c r="D367" s="136"/>
      <c r="E367" s="136"/>
      <c r="F367" s="149"/>
    </row>
    <row r="368" spans="2:6" x14ac:dyDescent="0.25">
      <c r="B368" s="71"/>
      <c r="C368" s="136"/>
      <c r="D368" s="136"/>
      <c r="E368" s="136"/>
      <c r="F368" s="149"/>
    </row>
    <row r="369" spans="2:6" x14ac:dyDescent="0.25">
      <c r="B369" s="71"/>
      <c r="C369" s="136"/>
      <c r="D369" s="136"/>
      <c r="E369" s="136"/>
      <c r="F369" s="149"/>
    </row>
    <row r="370" spans="2:6" x14ac:dyDescent="0.25">
      <c r="B370" s="71"/>
      <c r="C370" s="136"/>
      <c r="D370" s="136"/>
      <c r="E370" s="136"/>
      <c r="F370" s="149"/>
    </row>
    <row r="371" spans="2:6" x14ac:dyDescent="0.25">
      <c r="B371" s="71"/>
      <c r="C371" s="136"/>
      <c r="D371" s="136"/>
      <c r="E371" s="136"/>
      <c r="F371" s="149"/>
    </row>
    <row r="372" spans="2:6" x14ac:dyDescent="0.25">
      <c r="B372" s="71"/>
      <c r="C372" s="136"/>
      <c r="D372" s="136"/>
      <c r="E372" s="136"/>
      <c r="F372" s="149"/>
    </row>
    <row r="373" spans="2:6" x14ac:dyDescent="0.25">
      <c r="B373" s="71"/>
      <c r="C373" s="136"/>
      <c r="D373" s="136"/>
      <c r="E373" s="136"/>
      <c r="F373" s="149"/>
    </row>
    <row r="374" spans="2:6" x14ac:dyDescent="0.25">
      <c r="B374" s="71"/>
      <c r="C374" s="136"/>
      <c r="D374" s="136"/>
      <c r="E374" s="136"/>
      <c r="F374" s="149"/>
    </row>
    <row r="375" spans="2:6" x14ac:dyDescent="0.25">
      <c r="B375" s="71"/>
      <c r="C375" s="136"/>
      <c r="D375" s="136"/>
      <c r="E375" s="136"/>
      <c r="F375" s="149"/>
    </row>
    <row r="376" spans="2:6" x14ac:dyDescent="0.25">
      <c r="B376" s="71"/>
      <c r="C376" s="136"/>
      <c r="D376" s="136"/>
      <c r="E376" s="136"/>
      <c r="F376" s="149"/>
    </row>
    <row r="377" spans="2:6" x14ac:dyDescent="0.25">
      <c r="B377" s="71"/>
      <c r="C377" s="136"/>
      <c r="D377" s="136"/>
      <c r="E377" s="136"/>
      <c r="F377" s="149"/>
    </row>
    <row r="378" spans="2:6" x14ac:dyDescent="0.25">
      <c r="B378" s="71"/>
      <c r="C378" s="136"/>
      <c r="D378" s="136"/>
      <c r="E378" s="136"/>
      <c r="F378" s="149"/>
    </row>
    <row r="379" spans="2:6" x14ac:dyDescent="0.25">
      <c r="B379" s="71"/>
      <c r="C379" s="136"/>
      <c r="D379" s="136"/>
      <c r="E379" s="136"/>
      <c r="F379" s="149"/>
    </row>
    <row r="380" spans="2:6" x14ac:dyDescent="0.25">
      <c r="B380" s="71"/>
      <c r="C380" s="136"/>
      <c r="D380" s="136"/>
      <c r="E380" s="136"/>
      <c r="F380" s="149"/>
    </row>
    <row r="381" spans="2:6" x14ac:dyDescent="0.25">
      <c r="B381" s="71"/>
      <c r="C381" s="136"/>
      <c r="D381" s="136"/>
      <c r="E381" s="136"/>
      <c r="F381" s="149"/>
    </row>
    <row r="382" spans="2:6" x14ac:dyDescent="0.25">
      <c r="B382" s="71"/>
      <c r="C382" s="136"/>
      <c r="D382" s="136"/>
      <c r="E382" s="136"/>
      <c r="F382" s="149"/>
    </row>
    <row r="383" spans="2:6" x14ac:dyDescent="0.25">
      <c r="B383" s="71"/>
      <c r="C383" s="136"/>
      <c r="D383" s="136"/>
      <c r="E383" s="136"/>
      <c r="F383" s="149"/>
    </row>
    <row r="384" spans="2:6" x14ac:dyDescent="0.25">
      <c r="B384" s="71"/>
      <c r="C384" s="136"/>
      <c r="D384" s="136"/>
      <c r="E384" s="136"/>
      <c r="F384" s="149"/>
    </row>
    <row r="385" spans="2:6" x14ac:dyDescent="0.25">
      <c r="B385" s="71"/>
      <c r="C385" s="136"/>
      <c r="D385" s="136"/>
      <c r="E385" s="136"/>
      <c r="F385" s="149"/>
    </row>
    <row r="386" spans="2:6" x14ac:dyDescent="0.25">
      <c r="B386" s="71"/>
      <c r="C386" s="136"/>
      <c r="D386" s="136"/>
      <c r="E386" s="136"/>
      <c r="F386" s="149"/>
    </row>
    <row r="387" spans="2:6" x14ac:dyDescent="0.25">
      <c r="B387" s="71"/>
      <c r="C387" s="136"/>
      <c r="D387" s="136"/>
      <c r="E387" s="136"/>
      <c r="F387" s="149"/>
    </row>
    <row r="388" spans="2:6" x14ac:dyDescent="0.25">
      <c r="B388" s="71"/>
      <c r="C388" s="136"/>
      <c r="D388" s="136"/>
      <c r="E388" s="136"/>
      <c r="F388" s="149"/>
    </row>
    <row r="389" spans="2:6" x14ac:dyDescent="0.25">
      <c r="B389" s="71"/>
      <c r="C389" s="136"/>
      <c r="D389" s="136"/>
      <c r="E389" s="136"/>
      <c r="F389" s="149"/>
    </row>
    <row r="390" spans="2:6" x14ac:dyDescent="0.25">
      <c r="B390" s="71"/>
      <c r="C390" s="136"/>
      <c r="D390" s="136"/>
      <c r="E390" s="136"/>
      <c r="F390" s="149"/>
    </row>
    <row r="391" spans="2:6" x14ac:dyDescent="0.25">
      <c r="B391" s="71"/>
      <c r="C391" s="136"/>
      <c r="D391" s="136"/>
      <c r="E391" s="136"/>
      <c r="F391" s="149"/>
    </row>
    <row r="392" spans="2:6" x14ac:dyDescent="0.25">
      <c r="B392" s="71"/>
      <c r="C392" s="136"/>
      <c r="D392" s="136"/>
      <c r="E392" s="136"/>
      <c r="F392" s="149"/>
    </row>
    <row r="393" spans="2:6" x14ac:dyDescent="0.25">
      <c r="B393" s="71"/>
      <c r="C393" s="136"/>
      <c r="D393" s="136"/>
      <c r="E393" s="136"/>
      <c r="F393" s="149"/>
    </row>
    <row r="394" spans="2:6" x14ac:dyDescent="0.25">
      <c r="B394" s="71"/>
      <c r="C394" s="136"/>
      <c r="D394" s="136"/>
      <c r="E394" s="136"/>
      <c r="F394" s="149"/>
    </row>
    <row r="395" spans="2:6" x14ac:dyDescent="0.25">
      <c r="B395" s="71"/>
      <c r="C395" s="136"/>
      <c r="D395" s="136"/>
      <c r="E395" s="136"/>
      <c r="F395" s="149"/>
    </row>
    <row r="396" spans="2:6" x14ac:dyDescent="0.25">
      <c r="B396" s="71"/>
      <c r="C396" s="136"/>
      <c r="D396" s="136"/>
      <c r="E396" s="136"/>
      <c r="F396" s="149"/>
    </row>
    <row r="397" spans="2:6" x14ac:dyDescent="0.25">
      <c r="B397" s="71"/>
      <c r="C397" s="136"/>
      <c r="D397" s="136"/>
      <c r="E397" s="136"/>
      <c r="F397" s="149"/>
    </row>
    <row r="398" spans="2:6" x14ac:dyDescent="0.25">
      <c r="B398" s="71"/>
      <c r="C398" s="136"/>
      <c r="D398" s="136"/>
      <c r="E398" s="136"/>
      <c r="F398" s="149"/>
    </row>
    <row r="399" spans="2:6" x14ac:dyDescent="0.25">
      <c r="B399" s="71"/>
      <c r="C399" s="136"/>
      <c r="D399" s="136"/>
      <c r="E399" s="136"/>
      <c r="F399" s="149"/>
    </row>
    <row r="400" spans="2:6" x14ac:dyDescent="0.25">
      <c r="B400" s="71"/>
      <c r="C400" s="136"/>
      <c r="D400" s="136"/>
      <c r="E400" s="136"/>
      <c r="F400" s="149"/>
    </row>
    <row r="401" spans="2:6" x14ac:dyDescent="0.25">
      <c r="B401" s="71"/>
      <c r="C401" s="136"/>
      <c r="D401" s="136"/>
      <c r="E401" s="136"/>
      <c r="F401" s="149"/>
    </row>
    <row r="402" spans="2:6" x14ac:dyDescent="0.25">
      <c r="B402" s="71"/>
      <c r="C402" s="136"/>
      <c r="D402" s="136"/>
      <c r="E402" s="136"/>
      <c r="F402" s="149"/>
    </row>
    <row r="403" spans="2:6" x14ac:dyDescent="0.25">
      <c r="B403" s="71"/>
      <c r="C403" s="136"/>
      <c r="D403" s="136"/>
      <c r="E403" s="136"/>
      <c r="F403" s="149"/>
    </row>
    <row r="404" spans="2:6" x14ac:dyDescent="0.25">
      <c r="B404" s="71"/>
      <c r="C404" s="136"/>
      <c r="D404" s="136"/>
      <c r="E404" s="136"/>
      <c r="F404" s="149"/>
    </row>
    <row r="405" spans="2:6" x14ac:dyDescent="0.25">
      <c r="B405" s="71"/>
      <c r="C405" s="136"/>
      <c r="D405" s="136"/>
      <c r="E405" s="136"/>
      <c r="F405" s="149"/>
    </row>
    <row r="406" spans="2:6" x14ac:dyDescent="0.25">
      <c r="B406" s="71"/>
      <c r="C406" s="136"/>
      <c r="D406" s="136"/>
      <c r="E406" s="136"/>
      <c r="F406" s="149"/>
    </row>
    <row r="407" spans="2:6" x14ac:dyDescent="0.25">
      <c r="B407" s="71"/>
      <c r="C407" s="136"/>
      <c r="D407" s="136"/>
      <c r="E407" s="136"/>
      <c r="F407" s="149"/>
    </row>
    <row r="408" spans="2:6" x14ac:dyDescent="0.25">
      <c r="B408" s="71"/>
      <c r="C408" s="136"/>
      <c r="D408" s="136"/>
      <c r="E408" s="136"/>
      <c r="F408" s="149"/>
    </row>
    <row r="409" spans="2:6" x14ac:dyDescent="0.25">
      <c r="B409" s="71"/>
      <c r="C409" s="136"/>
      <c r="D409" s="136"/>
      <c r="E409" s="136"/>
      <c r="F409" s="149"/>
    </row>
    <row r="410" spans="2:6" x14ac:dyDescent="0.25">
      <c r="B410" s="71"/>
      <c r="C410" s="136"/>
      <c r="D410" s="136"/>
      <c r="E410" s="136"/>
      <c r="F410" s="149"/>
    </row>
    <row r="411" spans="2:6" x14ac:dyDescent="0.25">
      <c r="B411" s="71"/>
      <c r="C411" s="136"/>
      <c r="D411" s="136"/>
      <c r="E411" s="136"/>
      <c r="F411" s="149"/>
    </row>
    <row r="412" spans="2:6" x14ac:dyDescent="0.25">
      <c r="B412" s="71"/>
      <c r="C412" s="136"/>
      <c r="D412" s="136"/>
      <c r="E412" s="136"/>
      <c r="F412" s="149"/>
    </row>
    <row r="413" spans="2:6" x14ac:dyDescent="0.25">
      <c r="B413" s="71"/>
      <c r="C413" s="136"/>
      <c r="D413" s="136"/>
      <c r="E413" s="136"/>
      <c r="F413" s="149"/>
    </row>
    <row r="414" spans="2:6" x14ac:dyDescent="0.25">
      <c r="B414" s="71"/>
      <c r="C414" s="136"/>
      <c r="D414" s="136"/>
      <c r="E414" s="136"/>
      <c r="F414" s="149"/>
    </row>
    <row r="415" spans="2:6" x14ac:dyDescent="0.25">
      <c r="B415" s="71"/>
      <c r="C415" s="136"/>
      <c r="D415" s="136"/>
      <c r="E415" s="136"/>
      <c r="F415" s="149"/>
    </row>
    <row r="416" spans="2:6" x14ac:dyDescent="0.25">
      <c r="B416" s="71"/>
      <c r="C416" s="136"/>
      <c r="D416" s="136"/>
      <c r="E416" s="136"/>
      <c r="F416" s="149"/>
    </row>
    <row r="417" spans="2:6" x14ac:dyDescent="0.25">
      <c r="B417" s="71"/>
      <c r="C417" s="136"/>
      <c r="D417" s="136"/>
      <c r="E417" s="136"/>
      <c r="F417" s="149"/>
    </row>
    <row r="418" spans="2:6" x14ac:dyDescent="0.25">
      <c r="B418" s="71"/>
      <c r="C418" s="136"/>
      <c r="D418" s="136"/>
      <c r="E418" s="136"/>
      <c r="F418" s="149"/>
    </row>
    <row r="419" spans="2:6" x14ac:dyDescent="0.25">
      <c r="B419" s="71"/>
      <c r="C419" s="136"/>
      <c r="D419" s="136"/>
      <c r="E419" s="136"/>
      <c r="F419" s="149"/>
    </row>
    <row r="420" spans="2:6" x14ac:dyDescent="0.25">
      <c r="B420" s="71"/>
      <c r="C420" s="136"/>
      <c r="D420" s="136"/>
      <c r="E420" s="136"/>
      <c r="F420" s="149"/>
    </row>
    <row r="421" spans="2:6" x14ac:dyDescent="0.25">
      <c r="B421" s="71"/>
      <c r="C421" s="136"/>
      <c r="D421" s="136"/>
      <c r="E421" s="136"/>
      <c r="F421" s="149"/>
    </row>
    <row r="422" spans="2:6" x14ac:dyDescent="0.25">
      <c r="B422" s="71"/>
      <c r="C422" s="136"/>
      <c r="D422" s="136"/>
      <c r="E422" s="136"/>
      <c r="F422" s="149"/>
    </row>
    <row r="423" spans="2:6" x14ac:dyDescent="0.25">
      <c r="B423" s="71"/>
      <c r="C423" s="136"/>
      <c r="D423" s="136"/>
      <c r="E423" s="136"/>
      <c r="F423" s="149"/>
    </row>
    <row r="424" spans="2:6" x14ac:dyDescent="0.25">
      <c r="B424" s="71"/>
      <c r="C424" s="136"/>
      <c r="D424" s="136"/>
      <c r="E424" s="136"/>
      <c r="F424" s="149"/>
    </row>
    <row r="425" spans="2:6" x14ac:dyDescent="0.25">
      <c r="B425" s="71"/>
      <c r="C425" s="136"/>
      <c r="D425" s="136"/>
      <c r="E425" s="136"/>
      <c r="F425" s="149"/>
    </row>
    <row r="426" spans="2:6" x14ac:dyDescent="0.25">
      <c r="B426" s="71"/>
      <c r="C426" s="136"/>
      <c r="D426" s="136"/>
      <c r="E426" s="136"/>
      <c r="F426" s="149"/>
    </row>
    <row r="427" spans="2:6" x14ac:dyDescent="0.25">
      <c r="B427" s="71"/>
      <c r="C427" s="136"/>
      <c r="D427" s="136"/>
      <c r="E427" s="136"/>
      <c r="F427" s="149"/>
    </row>
    <row r="428" spans="2:6" x14ac:dyDescent="0.25">
      <c r="B428" s="71"/>
      <c r="C428" s="136"/>
      <c r="D428" s="136"/>
      <c r="E428" s="136"/>
      <c r="F428" s="149"/>
    </row>
    <row r="429" spans="2:6" x14ac:dyDescent="0.25">
      <c r="B429" s="71"/>
      <c r="C429" s="136"/>
      <c r="D429" s="136"/>
      <c r="E429" s="136"/>
      <c r="F429" s="149"/>
    </row>
    <row r="430" spans="2:6" x14ac:dyDescent="0.25">
      <c r="B430" s="71"/>
      <c r="C430" s="136"/>
      <c r="D430" s="136"/>
      <c r="E430" s="136"/>
      <c r="F430" s="149"/>
    </row>
    <row r="431" spans="2:6" x14ac:dyDescent="0.25">
      <c r="B431" s="71"/>
      <c r="C431" s="136"/>
      <c r="D431" s="136"/>
      <c r="E431" s="136"/>
      <c r="F431" s="149"/>
    </row>
    <row r="432" spans="2:6" x14ac:dyDescent="0.25">
      <c r="B432" s="71"/>
      <c r="C432" s="136"/>
      <c r="D432" s="136"/>
      <c r="E432" s="136"/>
      <c r="F432" s="149"/>
    </row>
    <row r="433" spans="2:6" x14ac:dyDescent="0.25">
      <c r="B433" s="71"/>
      <c r="C433" s="136"/>
      <c r="D433" s="136"/>
      <c r="E433" s="136"/>
      <c r="F433" s="149"/>
    </row>
    <row r="434" spans="2:6" x14ac:dyDescent="0.25">
      <c r="B434" s="71"/>
      <c r="C434" s="136"/>
      <c r="D434" s="136"/>
      <c r="E434" s="136"/>
      <c r="F434" s="149"/>
    </row>
    <row r="435" spans="2:6" x14ac:dyDescent="0.25">
      <c r="B435" s="71"/>
      <c r="C435" s="136"/>
      <c r="D435" s="136"/>
      <c r="E435" s="136"/>
      <c r="F435" s="149"/>
    </row>
    <row r="436" spans="2:6" x14ac:dyDescent="0.25">
      <c r="B436" s="71"/>
      <c r="C436" s="136"/>
      <c r="D436" s="136"/>
      <c r="E436" s="136"/>
      <c r="F436" s="149"/>
    </row>
    <row r="437" spans="2:6" x14ac:dyDescent="0.25">
      <c r="B437" s="71"/>
      <c r="C437" s="136"/>
      <c r="D437" s="136"/>
      <c r="E437" s="136"/>
      <c r="F437" s="149"/>
    </row>
    <row r="438" spans="2:6" x14ac:dyDescent="0.25">
      <c r="B438" s="71"/>
      <c r="C438" s="136"/>
      <c r="D438" s="136"/>
      <c r="E438" s="136"/>
      <c r="F438" s="149"/>
    </row>
    <row r="439" spans="2:6" x14ac:dyDescent="0.25">
      <c r="B439" s="71"/>
      <c r="C439" s="136"/>
      <c r="D439" s="136"/>
      <c r="E439" s="136"/>
      <c r="F439" s="149"/>
    </row>
    <row r="440" spans="2:6" x14ac:dyDescent="0.25">
      <c r="B440" s="71"/>
      <c r="C440" s="136"/>
      <c r="D440" s="136"/>
      <c r="E440" s="136"/>
      <c r="F440" s="149"/>
    </row>
    <row r="441" spans="2:6" x14ac:dyDescent="0.25">
      <c r="B441" s="71"/>
      <c r="C441" s="136"/>
      <c r="D441" s="136"/>
      <c r="E441" s="136"/>
      <c r="F441" s="149"/>
    </row>
    <row r="442" spans="2:6" x14ac:dyDescent="0.25">
      <c r="B442" s="71"/>
      <c r="C442" s="136"/>
      <c r="D442" s="136"/>
      <c r="E442" s="136"/>
      <c r="F442" s="149"/>
    </row>
    <row r="443" spans="2:6" x14ac:dyDescent="0.25">
      <c r="B443" s="71"/>
      <c r="C443" s="136"/>
      <c r="D443" s="136"/>
      <c r="E443" s="136"/>
      <c r="F443" s="149"/>
    </row>
    <row r="444" spans="2:6" x14ac:dyDescent="0.25">
      <c r="B444" s="71"/>
      <c r="C444" s="136"/>
      <c r="D444" s="136"/>
      <c r="E444" s="136"/>
      <c r="F444" s="149"/>
    </row>
    <row r="445" spans="2:6" x14ac:dyDescent="0.25">
      <c r="B445" s="71"/>
      <c r="C445" s="136"/>
      <c r="D445" s="136"/>
      <c r="E445" s="136"/>
      <c r="F445" s="149"/>
    </row>
    <row r="446" spans="2:6" x14ac:dyDescent="0.25">
      <c r="B446" s="71"/>
      <c r="C446" s="136"/>
      <c r="D446" s="136"/>
      <c r="E446" s="136"/>
      <c r="F446" s="149"/>
    </row>
    <row r="447" spans="2:6" x14ac:dyDescent="0.25">
      <c r="B447" s="71"/>
      <c r="C447" s="136"/>
      <c r="D447" s="136"/>
      <c r="E447" s="136"/>
      <c r="F447" s="149"/>
    </row>
    <row r="448" spans="2:6" x14ac:dyDescent="0.25">
      <c r="B448" s="71"/>
      <c r="C448" s="136"/>
      <c r="D448" s="136"/>
      <c r="E448" s="136"/>
      <c r="F448" s="149"/>
    </row>
    <row r="449" spans="2:6" x14ac:dyDescent="0.25">
      <c r="B449" s="71"/>
      <c r="C449" s="136"/>
      <c r="D449" s="136"/>
      <c r="E449" s="136"/>
      <c r="F449" s="149"/>
    </row>
    <row r="450" spans="2:6" x14ac:dyDescent="0.25">
      <c r="B450" s="71"/>
      <c r="C450" s="136"/>
      <c r="D450" s="136"/>
      <c r="E450" s="136"/>
      <c r="F450" s="149"/>
    </row>
    <row r="451" spans="2:6" x14ac:dyDescent="0.25">
      <c r="B451" s="71"/>
      <c r="C451" s="136"/>
      <c r="D451" s="136"/>
      <c r="E451" s="136"/>
      <c r="F451" s="149"/>
    </row>
    <row r="452" spans="2:6" x14ac:dyDescent="0.25">
      <c r="B452" s="71"/>
      <c r="C452" s="136"/>
      <c r="D452" s="136"/>
      <c r="E452" s="136"/>
      <c r="F452" s="149"/>
    </row>
    <row r="453" spans="2:6" x14ac:dyDescent="0.25">
      <c r="B453" s="71"/>
      <c r="C453" s="136"/>
      <c r="D453" s="136"/>
      <c r="E453" s="136"/>
      <c r="F453" s="149"/>
    </row>
    <row r="454" spans="2:6" x14ac:dyDescent="0.25">
      <c r="B454" s="71"/>
      <c r="C454" s="136"/>
      <c r="D454" s="136"/>
      <c r="E454" s="136"/>
      <c r="F454" s="149"/>
    </row>
    <row r="455" spans="2:6" x14ac:dyDescent="0.25">
      <c r="B455" s="71"/>
      <c r="C455" s="136"/>
      <c r="D455" s="136"/>
      <c r="E455" s="136"/>
      <c r="F455" s="149"/>
    </row>
    <row r="456" spans="2:6" x14ac:dyDescent="0.25">
      <c r="B456" s="71"/>
      <c r="C456" s="136"/>
      <c r="D456" s="136"/>
      <c r="E456" s="136"/>
      <c r="F456" s="149"/>
    </row>
    <row r="457" spans="2:6" x14ac:dyDescent="0.25">
      <c r="B457" s="71"/>
      <c r="C457" s="136"/>
      <c r="D457" s="136"/>
      <c r="E457" s="136"/>
      <c r="F457" s="149"/>
    </row>
    <row r="458" spans="2:6" x14ac:dyDescent="0.25">
      <c r="B458" s="71"/>
      <c r="C458" s="136"/>
      <c r="D458" s="136"/>
      <c r="E458" s="136"/>
      <c r="F458" s="149"/>
    </row>
    <row r="459" spans="2:6" x14ac:dyDescent="0.25">
      <c r="B459" s="71"/>
      <c r="C459" s="136"/>
      <c r="D459" s="136"/>
      <c r="E459" s="136"/>
      <c r="F459" s="149"/>
    </row>
    <row r="460" spans="2:6" x14ac:dyDescent="0.25">
      <c r="B460" s="71"/>
      <c r="C460" s="136"/>
      <c r="D460" s="136"/>
      <c r="E460" s="136"/>
      <c r="F460" s="149"/>
    </row>
    <row r="461" spans="2:6" x14ac:dyDescent="0.25">
      <c r="B461" s="71"/>
      <c r="C461" s="136"/>
      <c r="D461" s="136"/>
      <c r="E461" s="136"/>
      <c r="F461" s="149"/>
    </row>
    <row r="462" spans="2:6" x14ac:dyDescent="0.25">
      <c r="B462" s="71"/>
      <c r="C462" s="136"/>
      <c r="D462" s="136"/>
      <c r="E462" s="136"/>
      <c r="F462" s="149"/>
    </row>
    <row r="463" spans="2:6" x14ac:dyDescent="0.25">
      <c r="B463" s="71"/>
      <c r="C463" s="136"/>
      <c r="D463" s="136"/>
      <c r="E463" s="136"/>
      <c r="F463" s="149"/>
    </row>
    <row r="464" spans="2:6" x14ac:dyDescent="0.25">
      <c r="B464" s="71"/>
      <c r="C464" s="136"/>
      <c r="D464" s="136"/>
      <c r="E464" s="136"/>
      <c r="F464" s="149"/>
    </row>
    <row r="465" spans="2:6" x14ac:dyDescent="0.25">
      <c r="B465" s="71"/>
      <c r="C465" s="136"/>
      <c r="D465" s="136"/>
      <c r="E465" s="136"/>
      <c r="F465" s="149"/>
    </row>
    <row r="466" spans="2:6" x14ac:dyDescent="0.25">
      <c r="B466" s="71"/>
      <c r="C466" s="136"/>
      <c r="D466" s="136"/>
      <c r="E466" s="136"/>
      <c r="F466" s="149"/>
    </row>
    <row r="467" spans="2:6" x14ac:dyDescent="0.25">
      <c r="B467" s="71"/>
      <c r="C467" s="136"/>
      <c r="D467" s="136"/>
      <c r="E467" s="136"/>
      <c r="F467" s="149"/>
    </row>
    <row r="468" spans="2:6" x14ac:dyDescent="0.25">
      <c r="B468" s="71"/>
      <c r="C468" s="136"/>
      <c r="D468" s="136"/>
      <c r="E468" s="136"/>
      <c r="F468" s="149"/>
    </row>
    <row r="469" spans="2:6" x14ac:dyDescent="0.25">
      <c r="B469" s="71"/>
      <c r="C469" s="136"/>
      <c r="D469" s="136"/>
      <c r="E469" s="136"/>
      <c r="F469" s="149"/>
    </row>
    <row r="470" spans="2:6" x14ac:dyDescent="0.25">
      <c r="B470" s="71"/>
      <c r="C470" s="136"/>
      <c r="D470" s="136"/>
      <c r="E470" s="136"/>
      <c r="F470" s="149"/>
    </row>
    <row r="471" spans="2:6" x14ac:dyDescent="0.25">
      <c r="B471" s="71"/>
      <c r="C471" s="136"/>
      <c r="D471" s="136"/>
      <c r="E471" s="136"/>
      <c r="F471" s="149"/>
    </row>
    <row r="472" spans="2:6" x14ac:dyDescent="0.25">
      <c r="B472" s="71"/>
      <c r="C472" s="136"/>
      <c r="D472" s="136"/>
      <c r="E472" s="136"/>
      <c r="F472" s="149"/>
    </row>
    <row r="473" spans="2:6" x14ac:dyDescent="0.25">
      <c r="B473" s="71"/>
      <c r="C473" s="136"/>
      <c r="D473" s="136"/>
      <c r="E473" s="136"/>
      <c r="F473" s="149"/>
    </row>
    <row r="474" spans="2:6" x14ac:dyDescent="0.25">
      <c r="B474" s="71"/>
      <c r="C474" s="136"/>
      <c r="D474" s="136"/>
      <c r="E474" s="136"/>
      <c r="F474" s="149"/>
    </row>
    <row r="475" spans="2:6" x14ac:dyDescent="0.25">
      <c r="B475" s="71"/>
      <c r="C475" s="136"/>
      <c r="D475" s="136"/>
      <c r="E475" s="136"/>
      <c r="F475" s="149"/>
    </row>
    <row r="476" spans="2:6" x14ac:dyDescent="0.25">
      <c r="B476" s="71"/>
      <c r="C476" s="136"/>
      <c r="D476" s="136"/>
      <c r="E476" s="136"/>
      <c r="F476" s="149"/>
    </row>
    <row r="477" spans="2:6" x14ac:dyDescent="0.25">
      <c r="B477" s="71"/>
      <c r="C477" s="136"/>
      <c r="D477" s="136"/>
      <c r="E477" s="136"/>
      <c r="F477" s="149"/>
    </row>
    <row r="478" spans="2:6" x14ac:dyDescent="0.25">
      <c r="B478" s="71"/>
      <c r="C478" s="136"/>
      <c r="D478" s="136"/>
      <c r="E478" s="136"/>
      <c r="F478" s="149"/>
    </row>
    <row r="479" spans="2:6" x14ac:dyDescent="0.25">
      <c r="B479" s="71"/>
      <c r="C479" s="136"/>
      <c r="D479" s="136"/>
      <c r="E479" s="136"/>
      <c r="F479" s="149"/>
    </row>
    <row r="480" spans="2:6" x14ac:dyDescent="0.25">
      <c r="B480" s="71"/>
      <c r="C480" s="136"/>
      <c r="D480" s="136"/>
      <c r="E480" s="136"/>
      <c r="F480" s="149"/>
    </row>
    <row r="481" spans="2:6" x14ac:dyDescent="0.25">
      <c r="B481" s="71"/>
      <c r="C481" s="136"/>
      <c r="D481" s="136"/>
      <c r="E481" s="136"/>
      <c r="F481" s="149"/>
    </row>
    <row r="482" spans="2:6" x14ac:dyDescent="0.25">
      <c r="B482" s="71"/>
      <c r="C482" s="136"/>
      <c r="D482" s="136"/>
      <c r="E482" s="136"/>
      <c r="F482" s="149"/>
    </row>
    <row r="483" spans="2:6" x14ac:dyDescent="0.25">
      <c r="B483" s="71"/>
      <c r="C483" s="136"/>
      <c r="D483" s="136"/>
      <c r="E483" s="136"/>
      <c r="F483" s="149"/>
    </row>
    <row r="484" spans="2:6" x14ac:dyDescent="0.25">
      <c r="B484" s="71"/>
      <c r="C484" s="136"/>
      <c r="D484" s="136"/>
      <c r="E484" s="136"/>
      <c r="F484" s="149"/>
    </row>
    <row r="485" spans="2:6" x14ac:dyDescent="0.25">
      <c r="B485" s="71"/>
      <c r="C485" s="136"/>
      <c r="D485" s="136"/>
      <c r="E485" s="136"/>
      <c r="F485" s="149"/>
    </row>
    <row r="486" spans="2:6" x14ac:dyDescent="0.25">
      <c r="B486" s="71"/>
      <c r="C486" s="136"/>
      <c r="D486" s="136"/>
      <c r="E486" s="136"/>
      <c r="F486" s="149"/>
    </row>
    <row r="487" spans="2:6" x14ac:dyDescent="0.25">
      <c r="B487" s="71"/>
      <c r="C487" s="136"/>
      <c r="D487" s="136"/>
      <c r="E487" s="136"/>
      <c r="F487" s="149"/>
    </row>
    <row r="488" spans="2:6" x14ac:dyDescent="0.25">
      <c r="B488" s="71"/>
      <c r="C488" s="136"/>
      <c r="D488" s="136"/>
      <c r="E488" s="136"/>
      <c r="F488" s="149"/>
    </row>
    <row r="489" spans="2:6" x14ac:dyDescent="0.25">
      <c r="B489" s="71"/>
      <c r="C489" s="136"/>
      <c r="D489" s="136"/>
      <c r="E489" s="136"/>
      <c r="F489" s="149"/>
    </row>
    <row r="490" spans="2:6" x14ac:dyDescent="0.25">
      <c r="B490" s="71"/>
      <c r="C490" s="136"/>
      <c r="D490" s="136"/>
      <c r="E490" s="136"/>
      <c r="F490" s="149"/>
    </row>
    <row r="491" spans="2:6" x14ac:dyDescent="0.25">
      <c r="B491" s="71"/>
      <c r="C491" s="136"/>
      <c r="D491" s="136"/>
      <c r="E491" s="136"/>
      <c r="F491" s="149"/>
    </row>
    <row r="492" spans="2:6" x14ac:dyDescent="0.25">
      <c r="B492" s="71"/>
      <c r="C492" s="136"/>
      <c r="D492" s="136"/>
      <c r="E492" s="136"/>
      <c r="F492" s="149"/>
    </row>
    <row r="493" spans="2:6" x14ac:dyDescent="0.25">
      <c r="B493" s="71"/>
      <c r="C493" s="136"/>
      <c r="D493" s="136"/>
      <c r="E493" s="136"/>
      <c r="F493" s="149"/>
    </row>
    <row r="494" spans="2:6" x14ac:dyDescent="0.25">
      <c r="B494" s="71"/>
      <c r="C494" s="136"/>
      <c r="D494" s="136"/>
      <c r="E494" s="136"/>
      <c r="F494" s="149"/>
    </row>
    <row r="495" spans="2:6" x14ac:dyDescent="0.25">
      <c r="B495" s="71"/>
      <c r="C495" s="136"/>
      <c r="D495" s="136"/>
      <c r="E495" s="136"/>
      <c r="F495" s="149"/>
    </row>
    <row r="496" spans="2:6" x14ac:dyDescent="0.25">
      <c r="B496" s="71"/>
      <c r="C496" s="136"/>
      <c r="D496" s="136"/>
      <c r="E496" s="136"/>
      <c r="F496" s="149"/>
    </row>
  </sheetData>
  <autoFilter ref="B2:F496" xr:uid="{554D8806-CE5D-4CE8-9552-B328EF540225}"/>
  <conditionalFormatting sqref="B3:F87">
    <cfRule type="expression" dxfId="32" priority="1">
      <formula>$B2&lt;&gt;""</formula>
    </cfRule>
  </conditionalFormatting>
  <printOptions horizontalCentered="1"/>
  <pageMargins left="0.36" right="0.51181102362204722" top="0.78740157480314965" bottom="0.59" header="0.31496062992125984" footer="0.31496062992125984"/>
  <pageSetup paperSize="9" fitToHeight="3" orientation="landscape" horizontalDpi="300" verticalDpi="300" r:id="rId1"/>
  <headerFooter>
    <oddHeader>&amp;C&amp;"-,Negrito"&amp;12CADASTRO DOS TOMADORES DOS SERVIÇOS CONTRATANTES)&amp;R&amp;P / &amp;N</oddHeader>
    <oddFooter>&amp;L&amp;8&amp;Z&amp;F&amp;R&amp;D / &amp;T</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BF000-CE8A-4E78-80AA-3A1C97D44A56}">
  <sheetPr codeName="sht_CadTomadores">
    <pageSetUpPr fitToPage="1"/>
  </sheetPr>
  <dimension ref="B1:D4"/>
  <sheetViews>
    <sheetView showGridLines="0" showRowColHeaders="0" workbookViewId="0">
      <selection activeCell="B3" sqref="B3"/>
    </sheetView>
  </sheetViews>
  <sheetFormatPr defaultRowHeight="15" x14ac:dyDescent="0.25"/>
  <cols>
    <col min="1" max="1" width="4.5703125" customWidth="1"/>
    <col min="2" max="2" width="47.7109375" style="15" customWidth="1"/>
    <col min="3" max="3" width="20.5703125" style="1" customWidth="1"/>
    <col min="4" max="4" width="27.42578125" style="1" customWidth="1"/>
  </cols>
  <sheetData>
    <row r="1" spans="2:4" ht="4.5" customHeight="1" x14ac:dyDescent="0.25"/>
    <row r="2" spans="2:4" s="4" customFormat="1" ht="30" customHeight="1" x14ac:dyDescent="0.25">
      <c r="B2" s="100" t="s">
        <v>20</v>
      </c>
      <c r="C2" s="101" t="s">
        <v>17</v>
      </c>
      <c r="D2" s="101" t="s">
        <v>31</v>
      </c>
    </row>
    <row r="3" spans="2:4" x14ac:dyDescent="0.25">
      <c r="B3" s="151"/>
      <c r="C3" s="152"/>
      <c r="D3" s="152"/>
    </row>
    <row r="4" spans="2:4" x14ac:dyDescent="0.25">
      <c r="B4" s="71"/>
      <c r="C4" s="70"/>
      <c r="D4" s="70"/>
    </row>
  </sheetData>
  <sheetProtection algorithmName="SHA-512" hashValue="GXEIqfqDpjhiu/MVvDPs512B7UM6bb/PKOekoOpqMcE9mLocwlOje8GJPqqHWCChcgDIjurpUplXO4l/W2d9oQ==" saltValue="YAY72NCbjVDl1ZAUFy0lAg==" spinCount="100000" sheet="1" objects="1" scenarios="1"/>
  <sortState xmlns:xlrd2="http://schemas.microsoft.com/office/spreadsheetml/2017/richdata2" ref="B3:D3">
    <sortCondition ref="B3"/>
  </sortState>
  <conditionalFormatting sqref="B3:D100">
    <cfRule type="expression" dxfId="0" priority="1">
      <formula>$B2&lt;&gt;""</formula>
    </cfRule>
  </conditionalFormatting>
  <printOptions horizontalCentered="1"/>
  <pageMargins left="0.36" right="0.51181102362204722" top="0.78740157480314965" bottom="0.59" header="0.31496062992125984" footer="0.31496062992125984"/>
  <pageSetup paperSize="9" fitToHeight="3" orientation="landscape" horizontalDpi="300" verticalDpi="300" r:id="rId1"/>
  <headerFooter>
    <oddHeader>&amp;C&amp;"-,Negrito"&amp;12CADASTRO DOS TOMADORES DOS SERVIÇOS CONTRATANTES)&amp;R&amp;P / &amp;N</oddHeader>
    <oddFooter>&amp;L&amp;8&amp;Z&amp;F&amp;R&amp;D / &amp;T</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23346-D054-41D1-9C92-FC0C692B8C3E}">
  <sheetPr codeName="sht_CadPrestadores">
    <pageSetUpPr fitToPage="1"/>
  </sheetPr>
  <dimension ref="B1:J4"/>
  <sheetViews>
    <sheetView showGridLines="0" zoomScale="85" zoomScaleNormal="85" workbookViewId="0">
      <selection activeCell="B3" sqref="B3"/>
    </sheetView>
  </sheetViews>
  <sheetFormatPr defaultRowHeight="15" x14ac:dyDescent="0.25"/>
  <cols>
    <col min="1" max="1" width="5" customWidth="1"/>
    <col min="2" max="2" width="40" style="15" bestFit="1" customWidth="1"/>
    <col min="3" max="3" width="18" style="13" bestFit="1" customWidth="1"/>
    <col min="4" max="4" width="18.85546875" style="2" customWidth="1"/>
    <col min="5" max="5" width="17.28515625" style="2" customWidth="1"/>
    <col min="6" max="6" width="15.5703125" style="2" customWidth="1"/>
    <col min="7" max="7" width="16.7109375" style="14" customWidth="1"/>
    <col min="8" max="8" width="16.85546875" style="5" customWidth="1"/>
    <col min="9" max="9" width="16.5703125" style="10" customWidth="1"/>
    <col min="10" max="10" width="45.28515625" customWidth="1"/>
  </cols>
  <sheetData>
    <row r="1" spans="2:10" ht="3.75" customHeight="1" x14ac:dyDescent="0.25">
      <c r="C1" s="14"/>
    </row>
    <row r="2" spans="2:10" ht="34.5" customHeight="1" x14ac:dyDescent="0.25">
      <c r="B2" s="95" t="s">
        <v>21</v>
      </c>
      <c r="C2" s="96" t="s">
        <v>8</v>
      </c>
      <c r="D2" s="97" t="s">
        <v>39</v>
      </c>
      <c r="E2" s="97" t="s">
        <v>69</v>
      </c>
      <c r="F2" s="97" t="s">
        <v>56</v>
      </c>
      <c r="G2" s="96" t="s">
        <v>16</v>
      </c>
      <c r="H2" s="98" t="s">
        <v>37</v>
      </c>
      <c r="I2" s="98" t="s">
        <v>38</v>
      </c>
      <c r="J2" s="99" t="s">
        <v>40</v>
      </c>
    </row>
    <row r="3" spans="2:10" x14ac:dyDescent="0.25">
      <c r="B3" s="153"/>
      <c r="C3" s="154"/>
      <c r="D3" s="155"/>
      <c r="E3" s="155"/>
      <c r="F3" s="155"/>
      <c r="G3" s="156"/>
      <c r="H3" s="157"/>
      <c r="I3" s="157"/>
      <c r="J3" s="158"/>
    </row>
    <row r="4" spans="2:10" x14ac:dyDescent="0.25">
      <c r="B4" s="71"/>
      <c r="C4" s="72"/>
      <c r="D4" s="73"/>
      <c r="E4" s="73"/>
      <c r="F4" s="73"/>
      <c r="G4" s="82"/>
      <c r="H4" s="74"/>
      <c r="I4" s="75"/>
      <c r="J4" s="76"/>
    </row>
  </sheetData>
  <sheetProtection algorithmName="SHA-512" hashValue="AR02Q+fskr32s3XQiRaYeAIKzefXZEpml2qCzOsVMOcXrt5w1D6gdFbJmX5IInJeddou76If7/3Zz++S1HHjow==" saltValue="MkW4aBERJUewsK3oSauc8A==" spinCount="100000" sheet="1" objects="1" scenarios="1"/>
  <sortState xmlns:xlrd2="http://schemas.microsoft.com/office/spreadsheetml/2017/richdata2" ref="B3:J3">
    <sortCondition ref="B3"/>
  </sortState>
  <conditionalFormatting sqref="B101:J244">
    <cfRule type="expression" dxfId="30" priority="36">
      <formula>$B100&lt;&gt;""</formula>
    </cfRule>
  </conditionalFormatting>
  <conditionalFormatting sqref="B3:J100">
    <cfRule type="expression" dxfId="29" priority="1">
      <formula>$B2&lt;&gt;""</formula>
    </cfRule>
  </conditionalFormatting>
  <dataValidations count="4">
    <dataValidation type="decimal" allowBlank="1" showInputMessage="1" showErrorMessage="1" sqref="H3 G5:G1048576" xr:uid="{54237B49-6BA8-426C-AE96-80C4133F3152}">
      <formula1>0</formula1>
      <formula2>99999999</formula2>
    </dataValidation>
    <dataValidation type="whole" allowBlank="1" showInputMessage="1" showErrorMessage="1" errorTitle="ERRO!" error="Informar a quantidade de dependentes." sqref="G3" xr:uid="{05FC8EFD-0D64-4FAF-A2ED-A1A4605B65B5}">
      <formula1>0</formula1>
      <formula2>50</formula2>
    </dataValidation>
    <dataValidation type="whole" allowBlank="1" showInputMessage="1" showErrorMessage="1" errorTitle="ERRO!" error="Informar a quantidade de dependentes." sqref="G4" xr:uid="{2DDEB3A6-AB49-4D44-AF8C-DB9E7A50C8E8}">
      <formula1>1</formula1>
      <formula2>50</formula2>
    </dataValidation>
    <dataValidation type="list" allowBlank="1" showInputMessage="1" showErrorMessage="1" errorTitle="ERRO!" error="Campo somente aceita SIM ou NÃO!" promptTitle="INSCRITO COMO AUTÔNOMO?" prompt="Escolha SIM ou NÃO no botão de seleção à direita." sqref="F3:F4" xr:uid="{0C61ECD7-5AEE-47CC-AB9E-9CDFB6BF1C02}">
      <formula1>"SIM,NÃO"</formula1>
    </dataValidation>
  </dataValidations>
  <pageMargins left="0.32" right="0.51181102362204722" top="0.78740157480314965" bottom="0.78740157480314965" header="0.31496062992125984" footer="0.31496062992125984"/>
  <pageSetup paperSize="9" scale="76" fitToHeight="4" orientation="landscape" horizontalDpi="300" verticalDpi="300" r:id="rId1"/>
  <headerFooter>
    <oddHeader>&amp;C&amp;"-,Negrito"&amp;12CADASTRO DOS PRESTADORES DE SERVIÇO&amp;R&amp;P / &amp;N</oddHeader>
    <oddFooter>&amp;L&amp;8&amp;Z&amp;F&amp;R&amp;D /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57A6D-F75A-4A1C-AEEA-190FC46D243C}">
  <sheetPr codeName="sht_CadCidades"/>
  <dimension ref="B1:B4"/>
  <sheetViews>
    <sheetView showGridLines="0" workbookViewId="0">
      <selection activeCell="B3" sqref="B3"/>
    </sheetView>
  </sheetViews>
  <sheetFormatPr defaultRowHeight="15" x14ac:dyDescent="0.25"/>
  <cols>
    <col min="1" max="1" width="5" customWidth="1"/>
    <col min="2" max="2" width="47.7109375" style="15" customWidth="1"/>
  </cols>
  <sheetData>
    <row r="1" spans="2:2" ht="4.5" customHeight="1" x14ac:dyDescent="0.25"/>
    <row r="2" spans="2:2" s="4" customFormat="1" ht="30" customHeight="1" x14ac:dyDescent="0.25">
      <c r="B2" s="93" t="s">
        <v>36</v>
      </c>
    </row>
    <row r="3" spans="2:2" x14ac:dyDescent="0.25">
      <c r="B3" s="94"/>
    </row>
    <row r="4" spans="2:2" s="92" customFormat="1" x14ac:dyDescent="0.25">
      <c r="B4" s="94"/>
    </row>
  </sheetData>
  <sheetProtection algorithmName="SHA-512" hashValue="SziTI3lzHJnFf+2kqfNlfPFt0opSmE20NKBE2CYwZrQO7nBq3Mco5BbZUeex5irB1AdWBa7HvJ9n9N68EkN7TQ==" saltValue="hHCmZvtV0PtS0EwM2HLPsA==" spinCount="100000" sheet="1" objects="1" scenarios="1"/>
  <sortState xmlns:xlrd2="http://schemas.microsoft.com/office/spreadsheetml/2017/richdata2" ref="B3:B4">
    <sortCondition ref="B3"/>
  </sortState>
  <conditionalFormatting sqref="B3:B100">
    <cfRule type="expression" dxfId="28" priority="1">
      <formula>$B2&lt;&gt;""</formula>
    </cfRule>
  </conditionalFormatting>
  <dataValidations disablePrompts="1" count="1">
    <dataValidation type="list" allowBlank="1" showInputMessage="1" showErrorMessage="1" sqref="E3" xr:uid="{580AD791-3473-45F9-99B0-7A77B9E0BBBC}">
      <formula1>$B$3:$B$4</formula1>
    </dataValidation>
  </dataValidations>
  <pageMargins left="0.511811024" right="0.511811024" top="0.78740157499999996" bottom="0.78740157499999996" header="0.31496062000000002" footer="0.31496062000000002"/>
  <pageSetup paperSize="9"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EBC3C-C149-472A-89B8-CBB846381677}">
  <sheetPr codeName="sht_RegistroRPA">
    <tabColor theme="4" tint="-0.249977111117893"/>
    <pageSetUpPr fitToPage="1"/>
  </sheetPr>
  <dimension ref="B1:FB27"/>
  <sheetViews>
    <sheetView showGridLines="0" showRowColHeaders="0" topLeftCell="A3" zoomScaleNormal="100" workbookViewId="0">
      <selection activeCell="A2" sqref="A1:XFD2"/>
    </sheetView>
  </sheetViews>
  <sheetFormatPr defaultColWidth="1.7109375" defaultRowHeight="15" x14ac:dyDescent="0.25"/>
  <cols>
    <col min="1" max="1" width="1" style="4" customWidth="1"/>
    <col min="2" max="2" width="1.42578125" style="4" customWidth="1"/>
    <col min="3" max="16" width="1.7109375" style="3" customWidth="1"/>
    <col min="17" max="17" width="1.7109375" style="3"/>
    <col min="18" max="19" width="1.7109375" style="4"/>
    <col min="20" max="22" width="1.7109375" style="3"/>
    <col min="23" max="16384" width="1.7109375" style="4"/>
  </cols>
  <sheetData>
    <row r="1" spans="2:158" s="11" customFormat="1" ht="3.75" hidden="1" customHeight="1" x14ac:dyDescent="0.25">
      <c r="C1" s="12"/>
      <c r="D1" s="12"/>
      <c r="E1" s="12"/>
      <c r="F1" s="12"/>
      <c r="G1" s="12"/>
      <c r="H1" s="12"/>
      <c r="I1" s="12"/>
      <c r="J1" s="12"/>
      <c r="K1" s="12"/>
      <c r="L1" s="12"/>
      <c r="M1" s="12"/>
      <c r="N1" s="12"/>
      <c r="O1" s="12"/>
      <c r="P1" s="12"/>
      <c r="Q1" s="12"/>
      <c r="T1" s="12"/>
      <c r="U1" s="12"/>
      <c r="V1" s="12"/>
    </row>
    <row r="2" spans="2:158" s="11" customFormat="1" hidden="1" x14ac:dyDescent="0.25">
      <c r="B2" s="219" t="b">
        <v>0</v>
      </c>
      <c r="C2" s="219"/>
      <c r="D2" s="219"/>
      <c r="E2" s="219"/>
      <c r="F2" s="219"/>
      <c r="G2" s="219"/>
      <c r="H2" s="219"/>
      <c r="I2" s="219"/>
      <c r="J2" s="219" t="b">
        <v>0</v>
      </c>
      <c r="K2" s="219"/>
      <c r="L2" s="219"/>
      <c r="M2" s="219"/>
      <c r="N2" s="219"/>
      <c r="O2" s="219"/>
      <c r="P2" s="219"/>
      <c r="Q2" s="219">
        <v>0</v>
      </c>
      <c r="R2" s="219"/>
      <c r="S2" s="245">
        <v>8</v>
      </c>
      <c r="T2" s="245"/>
      <c r="U2" s="245"/>
      <c r="V2" s="246">
        <f>RegistroMaximo-ContadorRegistros</f>
        <v>8</v>
      </c>
      <c r="W2" s="246"/>
      <c r="X2" s="246">
        <f ca="1">IF(MaiorRPA=0,1,MaiorRPA)</f>
        <v>1</v>
      </c>
      <c r="Y2" s="246"/>
      <c r="Z2" s="246"/>
      <c r="AA2" s="246"/>
      <c r="AB2" s="219">
        <f ca="1">IFERROR(LARGE([0]!RPAsRegNro,1),0)</f>
        <v>0</v>
      </c>
      <c r="AC2" s="219"/>
      <c r="AD2" s="219"/>
      <c r="AE2" s="219"/>
      <c r="AF2" s="219"/>
      <c r="AG2" s="219"/>
      <c r="AH2" s="219"/>
      <c r="AI2" s="219">
        <f ca="1">IFERROR(COUNTIF([0]!RPAsRegNro,RegNroRPA),0)</f>
        <v>0</v>
      </c>
      <c r="AJ2" s="219"/>
      <c r="AK2" s="219"/>
      <c r="AL2" s="219"/>
      <c r="AM2" s="219"/>
      <c r="AN2" s="219"/>
      <c r="AO2" s="219"/>
      <c r="AP2" s="219">
        <f ca="1">IFERROR(SMALL([0]!RPAsRegNro,1),0)</f>
        <v>0</v>
      </c>
      <c r="AQ2" s="219"/>
      <c r="AR2" s="219"/>
      <c r="AS2" s="219" t="b">
        <v>1</v>
      </c>
      <c r="AT2" s="219"/>
      <c r="AU2" s="219"/>
      <c r="AV2" s="219"/>
      <c r="AW2" s="219"/>
      <c r="AX2" s="219"/>
      <c r="AY2" s="219"/>
      <c r="AZ2" s="219"/>
      <c r="BA2" s="219"/>
      <c r="BC2" s="219">
        <v>0</v>
      </c>
      <c r="BD2" s="219"/>
      <c r="BF2" s="11" t="s">
        <v>35</v>
      </c>
      <c r="BH2" s="219"/>
      <c r="BI2" s="219"/>
      <c r="BJ2" s="219"/>
      <c r="BL2" s="219">
        <v>1</v>
      </c>
      <c r="BM2" s="219"/>
      <c r="BN2" s="219"/>
      <c r="BO2" s="219"/>
      <c r="BP2" s="219"/>
      <c r="BQ2" s="219"/>
      <c r="BR2" s="219"/>
      <c r="BV2" s="254" t="e">
        <f ca="1">VLOOKUP(RegNroRPA,[0]!RPAsRegTudo,18,FALSE)</f>
        <v>#REF!</v>
      </c>
      <c r="BW2" s="254"/>
      <c r="BX2" s="254"/>
      <c r="BY2" s="254"/>
      <c r="BZ2" s="254"/>
      <c r="CA2" s="254"/>
      <c r="CB2" s="254"/>
      <c r="CC2" s="254"/>
      <c r="CD2" s="254"/>
      <c r="CG2" s="219" t="b">
        <v>0</v>
      </c>
      <c r="CH2" s="219"/>
      <c r="CI2" s="219"/>
      <c r="CJ2" s="219"/>
      <c r="CK2" s="219"/>
      <c r="CL2" s="219"/>
      <c r="CM2" s="219"/>
      <c r="CN2" s="219"/>
      <c r="CO2" s="216">
        <f ca="1">IFERROR(VLOOKUP(BB8,[0]!TiposServTudo,2,FALSE),0)</f>
        <v>0</v>
      </c>
      <c r="CP2" s="216"/>
      <c r="CQ2" s="216"/>
      <c r="CR2" s="216"/>
      <c r="CS2" s="216"/>
      <c r="CT2" s="216">
        <f ca="1">IFERROR(VLOOKUP(BB8,[0]!TiposServTudo,3,FALSE),0)</f>
        <v>0</v>
      </c>
      <c r="CU2" s="216"/>
      <c r="CV2" s="216"/>
      <c r="CW2" s="216"/>
      <c r="CX2" s="216"/>
      <c r="CY2" s="216">
        <f ca="1">IFERROR(VLOOKUP(BB8,[0]!TiposServTudo,4,FALSE),0)</f>
        <v>0</v>
      </c>
      <c r="CZ2" s="216"/>
      <c r="DA2" s="216"/>
      <c r="DB2" s="216"/>
      <c r="DC2" s="216"/>
      <c r="DD2" s="215">
        <f ca="1">IFERROR(VLOOKUP(BB8,[0]!TiposServTudo,5,FALSE),0)</f>
        <v>0</v>
      </c>
      <c r="DE2" s="215"/>
      <c r="DF2" s="215"/>
      <c r="DG2" s="215"/>
      <c r="DH2" s="215"/>
      <c r="DK2" s="210">
        <f ca="1">SUMIFS('RPAs Registrados'!I3:I11997,'RPAs Registrados'!G3:G11997,RegPrestador,'RPAs Registrados'!AC3:AC11997,MONTH(RegData),'RPAs Registrados'!AD3:AD11997,YEAR(RegData))</f>
        <v>0</v>
      </c>
      <c r="DL2" s="210"/>
      <c r="DM2" s="210"/>
      <c r="DN2" s="210"/>
      <c r="DO2" s="210"/>
      <c r="DP2" s="210"/>
      <c r="DQ2" s="210"/>
      <c r="DR2" s="210">
        <f ca="1">ABS(SUMIFS('RPAs Registrados'!K3:K11997,'RPAs Registrados'!G3:G11997,RegPrestador,'RPAs Registrados'!AC3:AC11997,MONTH(RegData),'RPAs Registrados'!AD3:AD11997,YEAR(RegData)))</f>
        <v>0</v>
      </c>
      <c r="DS2" s="210"/>
      <c r="DT2" s="210"/>
      <c r="DU2" s="210"/>
      <c r="DV2" s="210"/>
      <c r="DW2" s="210"/>
      <c r="DX2" s="210"/>
      <c r="DY2" s="210">
        <f ca="1">ABS(SUMIFS('RPAs Registrados'!J3:J11997,'RPAs Registrados'!G3:G11997,RegPrestador,'RPAs Registrados'!AC3:AC11997,MONTH(RegData),'RPAs Registrados'!AD3:AD11997,YEAR(RegData)))</f>
        <v>0</v>
      </c>
      <c r="DZ2" s="210"/>
      <c r="EA2" s="210"/>
      <c r="EB2" s="210"/>
      <c r="EC2" s="210"/>
      <c r="ED2" s="210"/>
      <c r="EE2" s="210"/>
      <c r="EF2" s="210" t="e">
        <f ca="1">IF(OR(BG4="NOVO",'RPAs Registrados'!#REF!=""),'Tabela IRRF e INSS'!K19,VLOOKUP(RegNroRPA,'RPAs Registrados'!B3:AD5,9,FALSE))</f>
        <v>#REF!</v>
      </c>
      <c r="EG2" s="210"/>
      <c r="EH2" s="210"/>
      <c r="EI2" s="210"/>
      <c r="EJ2" s="210"/>
      <c r="EK2" s="210"/>
      <c r="EL2" s="210"/>
      <c r="EQ2" s="219">
        <f ca="1">IF(RegData="",YEAR(TODAY()),YEAR(RegData))</f>
        <v>2018</v>
      </c>
      <c r="ER2" s="219"/>
      <c r="ES2" s="219"/>
      <c r="ET2" s="219"/>
      <c r="EU2" s="219"/>
      <c r="EV2" s="219"/>
      <c r="EW2" s="219">
        <f ca="1">IF(RegData="",MONTH(TODAY()),MONTH(RegData))</f>
        <v>12</v>
      </c>
      <c r="EX2" s="219"/>
      <c r="EY2" s="219"/>
      <c r="EZ2" s="219"/>
      <c r="FA2" s="219"/>
      <c r="FB2" s="219"/>
    </row>
    <row r="3" spans="2:158" ht="12" customHeight="1" x14ac:dyDescent="0.25"/>
    <row r="4" spans="2:158" ht="21" customHeight="1" x14ac:dyDescent="0.25">
      <c r="B4" s="4">
        <v>1</v>
      </c>
      <c r="BG4" s="220" t="str">
        <f ca="1">IF(MaiorRPA=0,"NOVO",IF(Novo_Editar=TRUE,"NOVO","EDITANDO"))</f>
        <v>NOVO</v>
      </c>
      <c r="BH4" s="220"/>
      <c r="BI4" s="220"/>
      <c r="BJ4" s="220"/>
      <c r="BK4" s="220"/>
      <c r="BL4" s="220"/>
      <c r="BM4" s="220"/>
      <c r="BN4" s="220"/>
      <c r="BO4" s="220"/>
      <c r="BP4" s="220"/>
      <c r="BQ4" s="220"/>
      <c r="BR4" s="220"/>
      <c r="BV4" s="221" t="s">
        <v>68</v>
      </c>
      <c r="BW4" s="221"/>
      <c r="BX4" s="221"/>
      <c r="BY4" s="221"/>
      <c r="BZ4" s="221"/>
      <c r="CA4" s="221"/>
      <c r="CB4" s="221"/>
      <c r="CC4" s="221"/>
      <c r="CD4" s="221"/>
      <c r="CE4" s="221"/>
      <c r="CF4" s="221"/>
      <c r="CG4" s="221"/>
      <c r="CH4" s="221"/>
      <c r="CI4" s="221"/>
      <c r="CJ4" s="221"/>
      <c r="CK4" s="221"/>
      <c r="CL4" s="221"/>
      <c r="CM4" s="221"/>
      <c r="CN4" s="221"/>
      <c r="CO4" s="221"/>
      <c r="CP4" s="221"/>
      <c r="CQ4" s="221"/>
      <c r="CR4" s="221"/>
      <c r="CS4" s="221"/>
      <c r="CT4" s="221"/>
      <c r="CU4" s="221"/>
      <c r="CV4" s="221"/>
      <c r="CW4" s="221"/>
      <c r="CX4" s="221"/>
      <c r="CY4" s="221"/>
      <c r="CZ4" s="221"/>
      <c r="DA4" s="221"/>
    </row>
    <row r="5" spans="2:158" ht="21" customHeight="1" x14ac:dyDescent="0.25">
      <c r="B5" s="4">
        <v>1</v>
      </c>
      <c r="C5" s="231" t="s">
        <v>28</v>
      </c>
      <c r="D5" s="231"/>
      <c r="E5" s="231"/>
      <c r="F5" s="231"/>
      <c r="G5" s="231"/>
      <c r="H5" s="231"/>
      <c r="I5" s="231"/>
      <c r="J5" s="231"/>
      <c r="K5" s="231"/>
      <c r="L5" s="231"/>
      <c r="M5" s="231"/>
      <c r="N5" s="231"/>
      <c r="O5" s="231"/>
      <c r="P5" s="231"/>
      <c r="Q5" s="257"/>
      <c r="R5" s="257"/>
      <c r="S5" s="257"/>
      <c r="T5" s="257"/>
      <c r="U5" s="257"/>
      <c r="V5" s="257"/>
      <c r="W5" s="257"/>
      <c r="X5" s="257"/>
      <c r="Y5" s="257"/>
      <c r="BD5" s="9"/>
      <c r="BE5" s="9"/>
      <c r="BG5" s="175" t="s">
        <v>137</v>
      </c>
      <c r="BH5" s="175"/>
      <c r="BI5" s="175"/>
      <c r="BJ5" s="175"/>
      <c r="BK5" s="175"/>
      <c r="BL5" s="255">
        <v>1</v>
      </c>
      <c r="BM5" s="255"/>
      <c r="BN5" s="255"/>
      <c r="BO5" s="255"/>
      <c r="BP5" s="255"/>
      <c r="BQ5" s="255"/>
      <c r="BR5" s="255"/>
      <c r="BV5" s="217" t="s">
        <v>22</v>
      </c>
      <c r="BW5" s="217"/>
      <c r="BX5" s="217"/>
      <c r="BY5" s="217"/>
      <c r="BZ5" s="217"/>
      <c r="CA5" s="217"/>
      <c r="CB5" s="217"/>
      <c r="CC5" s="217"/>
      <c r="CD5" s="217"/>
      <c r="CE5" s="217"/>
      <c r="CF5" s="217"/>
      <c r="CG5" s="217"/>
      <c r="CH5" s="217"/>
      <c r="CI5" s="217"/>
      <c r="CJ5" s="217"/>
      <c r="CK5" s="217"/>
      <c r="CL5" s="217"/>
      <c r="CM5" s="217"/>
      <c r="CN5" s="217"/>
      <c r="CO5" s="217"/>
      <c r="CP5" s="217"/>
      <c r="CQ5" s="67"/>
      <c r="CR5" s="264">
        <f>RegValor</f>
        <v>0</v>
      </c>
      <c r="CS5" s="264"/>
      <c r="CT5" s="264"/>
      <c r="CU5" s="264"/>
      <c r="CV5" s="264"/>
      <c r="CW5" s="264"/>
      <c r="CX5" s="264"/>
      <c r="CY5" s="264"/>
      <c r="CZ5" s="264"/>
      <c r="DA5" s="264"/>
    </row>
    <row r="6" spans="2:158" ht="21" customHeight="1" x14ac:dyDescent="0.25">
      <c r="C6" s="231" t="s">
        <v>27</v>
      </c>
      <c r="D6" s="231"/>
      <c r="E6" s="231"/>
      <c r="F6" s="231"/>
      <c r="G6" s="231"/>
      <c r="H6" s="231"/>
      <c r="I6" s="231"/>
      <c r="J6" s="231"/>
      <c r="K6" s="231"/>
      <c r="L6" s="231"/>
      <c r="M6" s="231"/>
      <c r="N6" s="231"/>
      <c r="O6" s="231"/>
      <c r="P6" s="231"/>
      <c r="Q6" s="249"/>
      <c r="R6" s="249"/>
      <c r="S6" s="249"/>
      <c r="T6" s="249"/>
      <c r="U6" s="249"/>
      <c r="V6" s="249"/>
      <c r="W6" s="249"/>
      <c r="X6" s="249"/>
      <c r="Y6" s="249"/>
      <c r="Z6" s="249"/>
      <c r="AA6" s="249"/>
      <c r="AB6" s="249"/>
      <c r="AC6" s="249"/>
      <c r="AD6" s="249"/>
      <c r="AE6" s="249"/>
      <c r="AF6" s="249"/>
      <c r="AG6" s="249"/>
      <c r="AH6" s="249"/>
      <c r="AI6" s="249"/>
      <c r="AK6" s="163" t="s">
        <v>114</v>
      </c>
      <c r="AL6" s="163"/>
      <c r="AM6" s="163"/>
      <c r="AN6" s="163"/>
      <c r="AO6" s="163"/>
      <c r="AP6" s="163"/>
      <c r="AQ6" s="163"/>
      <c r="AR6" s="163"/>
      <c r="AS6" s="256"/>
      <c r="AT6" s="256"/>
      <c r="AU6" s="256"/>
      <c r="AV6" s="256"/>
      <c r="BG6" s="243"/>
      <c r="BH6" s="243"/>
      <c r="BI6" s="243"/>
      <c r="BJ6" s="243"/>
      <c r="BK6" s="243"/>
      <c r="BL6" s="243"/>
      <c r="BM6" s="243"/>
      <c r="BN6" s="243"/>
      <c r="BO6" s="243"/>
      <c r="BP6" s="243"/>
      <c r="BQ6" s="108"/>
      <c r="BR6" s="108"/>
      <c r="BV6" s="217" t="s">
        <v>48</v>
      </c>
      <c r="BW6" s="217"/>
      <c r="BX6" s="217"/>
      <c r="BY6" s="217"/>
      <c r="BZ6" s="217"/>
      <c r="CA6" s="217"/>
      <c r="CB6" s="217"/>
      <c r="CC6" s="217"/>
      <c r="CD6" s="217"/>
      <c r="CE6" s="217"/>
      <c r="CF6" s="217"/>
      <c r="CG6" s="217"/>
      <c r="CH6" s="217"/>
      <c r="CI6" s="217"/>
      <c r="CJ6" s="217"/>
      <c r="CK6" s="217"/>
      <c r="CL6" s="217"/>
      <c r="CM6" s="217"/>
      <c r="CN6" s="217"/>
      <c r="CO6" s="217"/>
      <c r="CP6" s="217"/>
      <c r="CQ6" s="67"/>
      <c r="CR6" s="218">
        <f ca="1">-'Tabela IRRF e INSS'!K19</f>
        <v>0</v>
      </c>
      <c r="CS6" s="218"/>
      <c r="CT6" s="218"/>
      <c r="CU6" s="218"/>
      <c r="CV6" s="218"/>
      <c r="CW6" s="218"/>
      <c r="CX6" s="218"/>
      <c r="CY6" s="218"/>
      <c r="CZ6" s="218"/>
      <c r="DA6" s="218"/>
    </row>
    <row r="7" spans="2:158" ht="21" customHeight="1" x14ac:dyDescent="0.25">
      <c r="C7" s="242" t="s">
        <v>10</v>
      </c>
      <c r="D7" s="242"/>
      <c r="E7" s="242"/>
      <c r="F7" s="242"/>
      <c r="G7" s="242"/>
      <c r="H7" s="242"/>
      <c r="I7" s="242"/>
      <c r="J7" s="242"/>
      <c r="K7" s="242"/>
      <c r="L7" s="242"/>
      <c r="M7" s="242"/>
      <c r="N7" s="242"/>
      <c r="O7" s="242"/>
      <c r="P7" s="242"/>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c r="AT7" s="249"/>
      <c r="AU7" s="249"/>
      <c r="AV7" s="249"/>
      <c r="AX7" s="250" t="s">
        <v>71</v>
      </c>
      <c r="AY7" s="250"/>
      <c r="AZ7" s="250"/>
      <c r="BA7" s="250"/>
      <c r="BB7" s="244" t="str">
        <f>IF(RegTomador="","",IFERROR(IF(VLOOKUP(RegTomador,TomadoresTudo,3,FALSE)="","",VLOOKUP(RegTomador,TomadoresTudo,3,FALSE)),"Nome do Tomador é inválido!"))</f>
        <v/>
      </c>
      <c r="BC7" s="244"/>
      <c r="BD7" s="244"/>
      <c r="BE7" s="244"/>
      <c r="BF7" s="244"/>
      <c r="BG7" s="244"/>
      <c r="BH7" s="244"/>
      <c r="BI7" s="244"/>
      <c r="BJ7" s="244"/>
      <c r="BK7" s="244"/>
      <c r="BL7" s="244"/>
      <c r="BM7" s="244"/>
      <c r="BN7" s="244"/>
      <c r="BO7" s="244"/>
      <c r="BP7" s="244"/>
      <c r="BQ7" s="244"/>
      <c r="BR7" s="244"/>
      <c r="BV7" s="217" t="s">
        <v>49</v>
      </c>
      <c r="BW7" s="217"/>
      <c r="BX7" s="217"/>
      <c r="BY7" s="217"/>
      <c r="BZ7" s="217"/>
      <c r="CA7" s="217"/>
      <c r="CB7" s="217"/>
      <c r="CC7" s="217"/>
      <c r="CD7" s="217"/>
      <c r="CE7" s="217"/>
      <c r="CF7" s="217"/>
      <c r="CG7" s="217"/>
      <c r="CH7" s="217"/>
      <c r="CI7" s="217"/>
      <c r="CJ7" s="217"/>
      <c r="CK7" s="217"/>
      <c r="CL7" s="217"/>
      <c r="CM7" s="217"/>
      <c r="CN7" s="217"/>
      <c r="CO7" s="217"/>
      <c r="CP7" s="217"/>
      <c r="CQ7" s="67"/>
      <c r="CR7" s="218">
        <f ca="1">-'Tabela IRRF e INSS'!N19</f>
        <v>0</v>
      </c>
      <c r="CS7" s="218"/>
      <c r="CT7" s="218"/>
      <c r="CU7" s="218"/>
      <c r="CV7" s="218"/>
      <c r="CW7" s="218"/>
      <c r="CX7" s="218"/>
      <c r="CY7" s="218"/>
      <c r="CZ7" s="218"/>
      <c r="DA7" s="218"/>
    </row>
    <row r="8" spans="2:158" ht="21" customHeight="1" x14ac:dyDescent="0.25">
      <c r="C8" s="242" t="s">
        <v>11</v>
      </c>
      <c r="D8" s="242"/>
      <c r="E8" s="242"/>
      <c r="F8" s="242"/>
      <c r="G8" s="242"/>
      <c r="H8" s="242"/>
      <c r="I8" s="242"/>
      <c r="J8" s="242"/>
      <c r="K8" s="242"/>
      <c r="L8" s="242"/>
      <c r="M8" s="242"/>
      <c r="N8" s="242"/>
      <c r="O8" s="242"/>
      <c r="P8" s="242"/>
      <c r="Q8" s="251"/>
      <c r="R8" s="251"/>
      <c r="S8" s="251"/>
      <c r="T8" s="251"/>
      <c r="U8" s="251"/>
      <c r="V8" s="251"/>
      <c r="W8" s="251"/>
      <c r="X8" s="251"/>
      <c r="Y8" s="251"/>
      <c r="Z8" s="251"/>
      <c r="AA8" s="251"/>
      <c r="AB8" s="251"/>
      <c r="AC8" s="251"/>
      <c r="AD8" s="251"/>
      <c r="AE8" s="251"/>
      <c r="AF8" s="251"/>
      <c r="AG8" s="251"/>
      <c r="AH8" s="251"/>
      <c r="AI8" s="251"/>
      <c r="AJ8" s="251"/>
      <c r="AK8" s="251"/>
      <c r="AL8" s="251"/>
      <c r="AM8" s="251"/>
      <c r="AN8" s="251"/>
      <c r="AO8" s="251"/>
      <c r="AP8" s="251"/>
      <c r="AQ8" s="251"/>
      <c r="AR8" s="251"/>
      <c r="AS8" s="251"/>
      <c r="AT8" s="251"/>
      <c r="AU8" s="251"/>
      <c r="AV8" s="251"/>
      <c r="AX8" s="250" t="s">
        <v>98</v>
      </c>
      <c r="AY8" s="250"/>
      <c r="AZ8" s="250"/>
      <c r="BA8" s="250"/>
      <c r="BB8" s="249"/>
      <c r="BC8" s="249"/>
      <c r="BD8" s="249"/>
      <c r="BE8" s="249"/>
      <c r="BF8" s="249"/>
      <c r="BG8" s="249"/>
      <c r="BH8" s="249"/>
      <c r="BI8" s="249"/>
      <c r="BJ8" s="249"/>
      <c r="BK8" s="249"/>
      <c r="BL8" s="249"/>
      <c r="BM8" s="249"/>
      <c r="BN8" s="249"/>
      <c r="BO8" s="249"/>
      <c r="BP8" s="249"/>
      <c r="BQ8" s="249"/>
      <c r="BR8" s="249"/>
      <c r="BV8" s="217" t="s">
        <v>104</v>
      </c>
      <c r="BW8" s="217"/>
      <c r="BX8" s="217"/>
      <c r="BY8" s="217"/>
      <c r="BZ8" s="217"/>
      <c r="CA8" s="217"/>
      <c r="CB8" s="217"/>
      <c r="CC8" s="217"/>
      <c r="CD8" s="217"/>
      <c r="CE8" s="217"/>
      <c r="CF8" s="217"/>
      <c r="CG8" s="217"/>
      <c r="CH8" s="217"/>
      <c r="CI8" s="217"/>
      <c r="CJ8" s="217"/>
      <c r="CK8" s="217"/>
      <c r="CL8" s="217"/>
      <c r="CM8" s="217"/>
      <c r="CN8" s="217"/>
      <c r="CO8" s="217"/>
      <c r="CP8" s="217"/>
      <c r="CQ8" s="67"/>
      <c r="CR8" s="218">
        <f ca="1">-'Tabela IRRF e INSS'!K27</f>
        <v>0</v>
      </c>
      <c r="CS8" s="218"/>
      <c r="CT8" s="218"/>
      <c r="CU8" s="218"/>
      <c r="CV8" s="218"/>
      <c r="CW8" s="218"/>
      <c r="CX8" s="218"/>
      <c r="CY8" s="218"/>
      <c r="CZ8" s="218"/>
      <c r="DA8" s="218"/>
    </row>
    <row r="9" spans="2:158" ht="21" customHeight="1" x14ac:dyDescent="0.25">
      <c r="C9" s="240" t="s">
        <v>9</v>
      </c>
      <c r="D9" s="240"/>
      <c r="E9" s="240"/>
      <c r="F9" s="240"/>
      <c r="G9" s="240"/>
      <c r="H9" s="240"/>
      <c r="I9" s="240"/>
      <c r="J9" s="240"/>
      <c r="K9" s="240"/>
      <c r="L9" s="240"/>
      <c r="M9" s="240"/>
      <c r="N9" s="240"/>
      <c r="O9" s="240"/>
      <c r="P9" s="240"/>
      <c r="Q9" s="251"/>
      <c r="R9" s="251"/>
      <c r="S9" s="251"/>
      <c r="T9" s="251"/>
      <c r="U9" s="251"/>
      <c r="V9" s="251"/>
      <c r="W9" s="251"/>
      <c r="X9" s="251"/>
      <c r="Y9" s="251"/>
      <c r="Z9" s="251"/>
      <c r="AA9" s="251"/>
      <c r="AB9" s="251"/>
      <c r="AC9" s="251"/>
      <c r="AD9" s="251"/>
      <c r="AE9" s="251"/>
      <c r="AF9" s="251"/>
      <c r="AG9" s="251"/>
      <c r="AH9" s="251"/>
      <c r="AI9" s="251"/>
      <c r="AJ9" s="251"/>
      <c r="AK9" s="251"/>
      <c r="AL9" s="251"/>
      <c r="AM9" s="251"/>
      <c r="AN9" s="251"/>
      <c r="AO9" s="251"/>
      <c r="AP9" s="251"/>
      <c r="AQ9" s="251"/>
      <c r="AR9" s="251"/>
      <c r="AS9" s="251"/>
      <c r="AT9" s="251"/>
      <c r="AU9" s="251"/>
      <c r="AV9" s="251"/>
      <c r="AW9" s="251"/>
      <c r="AX9" s="251"/>
      <c r="AY9" s="251"/>
      <c r="AZ9" s="251"/>
      <c r="BA9" s="251"/>
      <c r="BB9" s="251"/>
      <c r="BC9" s="251"/>
      <c r="BD9" s="251"/>
      <c r="BE9" s="251"/>
      <c r="BF9" s="251"/>
      <c r="BG9" s="251"/>
      <c r="BH9" s="251"/>
      <c r="BI9" s="251"/>
      <c r="BJ9" s="251"/>
      <c r="BK9" s="251"/>
      <c r="BL9" s="251"/>
      <c r="BM9" s="251"/>
      <c r="BN9" s="251"/>
      <c r="BO9" s="251"/>
      <c r="BP9" s="251"/>
      <c r="BQ9" s="251"/>
      <c r="BR9" s="251"/>
      <c r="BV9" s="253" t="s">
        <v>5</v>
      </c>
      <c r="BW9" s="253"/>
      <c r="BX9" s="253"/>
      <c r="BY9" s="253"/>
      <c r="BZ9" s="253"/>
      <c r="CA9" s="253"/>
      <c r="CB9" s="253"/>
      <c r="CC9" s="253"/>
      <c r="CD9" s="253"/>
      <c r="CE9" s="253"/>
      <c r="CF9" s="253"/>
      <c r="CG9" s="253"/>
      <c r="CH9" s="253"/>
      <c r="CI9" s="253"/>
      <c r="CJ9" s="253"/>
      <c r="CK9" s="253"/>
      <c r="CL9" s="253"/>
      <c r="CM9" s="253"/>
      <c r="CN9" s="253"/>
      <c r="CO9" s="253"/>
      <c r="CP9" s="253"/>
      <c r="CQ9" s="67"/>
      <c r="CR9" s="247">
        <f>-IF(RegInscrMunicipal="SIM",0,CR5*RegAliquotaISS)</f>
        <v>0</v>
      </c>
      <c r="CS9" s="247"/>
      <c r="CT9" s="247"/>
      <c r="CU9" s="247"/>
      <c r="CV9" s="247"/>
      <c r="CW9" s="247"/>
      <c r="CX9" s="247"/>
      <c r="CY9" s="247"/>
      <c r="CZ9" s="247"/>
      <c r="DA9" s="247"/>
    </row>
    <row r="10" spans="2:158" ht="21" customHeight="1" x14ac:dyDescent="0.25">
      <c r="C10" s="241"/>
      <c r="D10" s="241"/>
      <c r="E10" s="241"/>
      <c r="F10" s="241"/>
      <c r="G10" s="241"/>
      <c r="H10" s="241"/>
      <c r="I10" s="241"/>
      <c r="J10" s="241"/>
      <c r="K10" s="241"/>
      <c r="L10" s="241"/>
      <c r="M10" s="241"/>
      <c r="N10" s="241"/>
      <c r="O10" s="241"/>
      <c r="P10" s="241"/>
      <c r="Q10" s="252"/>
      <c r="R10" s="252"/>
      <c r="S10" s="252"/>
      <c r="T10" s="252"/>
      <c r="U10" s="252"/>
      <c r="V10" s="252"/>
      <c r="W10" s="252"/>
      <c r="X10" s="252"/>
      <c r="Y10" s="252"/>
      <c r="Z10" s="252"/>
      <c r="AA10" s="252"/>
      <c r="AB10" s="252"/>
      <c r="AC10" s="252"/>
      <c r="AD10" s="252"/>
      <c r="AE10" s="252"/>
      <c r="AF10" s="252"/>
      <c r="AG10" s="252"/>
      <c r="AH10" s="252"/>
      <c r="AI10" s="252"/>
      <c r="AJ10" s="252"/>
      <c r="AK10" s="252"/>
      <c r="AL10" s="252"/>
      <c r="AM10" s="252"/>
      <c r="AN10" s="252"/>
      <c r="AO10" s="252"/>
      <c r="AP10" s="252"/>
      <c r="AQ10" s="252"/>
      <c r="AR10" s="252"/>
      <c r="AS10" s="252"/>
      <c r="AT10" s="252"/>
      <c r="AU10" s="252"/>
      <c r="AV10" s="252"/>
      <c r="AW10" s="252"/>
      <c r="AX10" s="252"/>
      <c r="AY10" s="252"/>
      <c r="AZ10" s="252"/>
      <c r="BA10" s="252"/>
      <c r="BB10" s="252"/>
      <c r="BC10" s="252"/>
      <c r="BD10" s="252"/>
      <c r="BE10" s="252"/>
      <c r="BF10" s="252"/>
      <c r="BG10" s="252"/>
      <c r="BH10" s="252"/>
      <c r="BI10" s="252"/>
      <c r="BJ10" s="252"/>
      <c r="BK10" s="252"/>
      <c r="BL10" s="252"/>
      <c r="BM10" s="252"/>
      <c r="BN10" s="252"/>
      <c r="BO10" s="252"/>
      <c r="BP10" s="252"/>
      <c r="BQ10" s="252"/>
      <c r="BR10" s="252"/>
      <c r="BV10" s="222" t="s">
        <v>7</v>
      </c>
      <c r="BW10" s="222"/>
      <c r="BX10" s="222"/>
      <c r="BY10" s="222"/>
      <c r="BZ10" s="222"/>
      <c r="CA10" s="222"/>
      <c r="CB10" s="222"/>
      <c r="CC10" s="222"/>
      <c r="CD10" s="222"/>
      <c r="CE10" s="222"/>
      <c r="CF10" s="222"/>
      <c r="CG10" s="222"/>
      <c r="CH10" s="222"/>
      <c r="CI10" s="222"/>
      <c r="CJ10" s="222"/>
      <c r="CK10" s="222"/>
      <c r="CL10" s="222"/>
      <c r="CM10" s="222"/>
      <c r="CN10" s="222"/>
      <c r="CO10" s="222"/>
      <c r="CP10" s="222"/>
      <c r="CQ10" s="67"/>
      <c r="CR10" s="248">
        <f ca="1">SUM(CR5:DA9)</f>
        <v>0</v>
      </c>
      <c r="CS10" s="248"/>
      <c r="CT10" s="248"/>
      <c r="CU10" s="248"/>
      <c r="CV10" s="248"/>
      <c r="CW10" s="248"/>
      <c r="CX10" s="248"/>
      <c r="CY10" s="248"/>
      <c r="CZ10" s="248"/>
      <c r="DA10" s="248"/>
    </row>
    <row r="11" spans="2:158" ht="21" customHeight="1" x14ac:dyDescent="0.25">
      <c r="C11" s="263"/>
      <c r="D11" s="263"/>
      <c r="E11" s="263"/>
      <c r="F11" s="263"/>
      <c r="G11" s="263"/>
      <c r="H11" s="263"/>
      <c r="I11" s="263"/>
      <c r="J11" s="263"/>
      <c r="K11" s="263"/>
      <c r="L11" s="263"/>
      <c r="M11" s="263"/>
      <c r="N11" s="263"/>
      <c r="O11" s="263"/>
      <c r="P11" s="263"/>
      <c r="Q11" s="262" t="s">
        <v>111</v>
      </c>
      <c r="R11" s="260"/>
      <c r="S11" s="260"/>
      <c r="T11" s="260"/>
      <c r="U11" s="260"/>
      <c r="V11" s="260"/>
      <c r="W11" s="260"/>
      <c r="X11" s="260"/>
      <c r="Y11" s="260"/>
      <c r="Z11" s="260"/>
      <c r="AA11" s="260" t="s">
        <v>110</v>
      </c>
      <c r="AB11" s="260"/>
      <c r="AC11" s="260"/>
      <c r="AD11" s="260"/>
      <c r="AE11" s="260"/>
      <c r="AF11" s="260"/>
      <c r="AG11" s="260"/>
      <c r="AH11" s="260"/>
      <c r="AI11" s="260"/>
      <c r="AJ11" s="261"/>
      <c r="BV11" s="221" t="s">
        <v>13</v>
      </c>
      <c r="BW11" s="221"/>
      <c r="BX11" s="221"/>
      <c r="BY11" s="221"/>
      <c r="BZ11" s="221"/>
      <c r="CA11" s="221"/>
      <c r="CB11" s="221"/>
      <c r="CC11" s="221"/>
      <c r="CD11" s="221"/>
      <c r="CE11" s="221"/>
      <c r="CF11" s="221"/>
      <c r="CG11" s="221"/>
      <c r="CH11" s="221"/>
      <c r="CI11" s="221"/>
      <c r="CJ11" s="221"/>
      <c r="CK11" s="221"/>
      <c r="CL11" s="221"/>
      <c r="CM11" s="221"/>
      <c r="CN11" s="221"/>
      <c r="CO11" s="221"/>
      <c r="CP11" s="221"/>
      <c r="CQ11" s="221"/>
      <c r="CR11" s="221"/>
      <c r="CS11" s="221"/>
      <c r="CT11" s="221"/>
      <c r="CU11" s="221"/>
      <c r="CV11" s="221"/>
      <c r="CW11" s="221"/>
      <c r="CX11" s="221"/>
      <c r="CY11" s="221"/>
      <c r="CZ11" s="221"/>
      <c r="DA11" s="221"/>
    </row>
    <row r="12" spans="2:158" ht="21" customHeight="1" x14ac:dyDescent="0.25">
      <c r="C12" s="239" t="s">
        <v>115</v>
      </c>
      <c r="D12" s="239"/>
      <c r="E12" s="239"/>
      <c r="F12" s="239"/>
      <c r="G12" s="239"/>
      <c r="H12" s="239"/>
      <c r="I12" s="239"/>
      <c r="J12" s="239"/>
      <c r="K12" s="239"/>
      <c r="L12" s="239"/>
      <c r="M12" s="239"/>
      <c r="N12" s="239"/>
      <c r="O12" s="239"/>
      <c r="P12" s="239"/>
      <c r="Q12" s="213"/>
      <c r="R12" s="213"/>
      <c r="S12" s="213"/>
      <c r="T12" s="213"/>
      <c r="U12" s="213"/>
      <c r="V12" s="213"/>
      <c r="W12" s="213"/>
      <c r="X12" s="213"/>
      <c r="Y12" s="213"/>
      <c r="Z12" s="214"/>
      <c r="AA12" s="211"/>
      <c r="AB12" s="212"/>
      <c r="AC12" s="212"/>
      <c r="AD12" s="212"/>
      <c r="AE12" s="212"/>
      <c r="AF12" s="212"/>
      <c r="AG12" s="212"/>
      <c r="AH12" s="212"/>
      <c r="AI12" s="212"/>
      <c r="AJ12" s="212"/>
      <c r="AL12" s="237" t="s">
        <v>79</v>
      </c>
      <c r="AM12" s="237"/>
      <c r="AN12" s="237"/>
      <c r="AO12" s="237"/>
      <c r="AP12" s="237"/>
      <c r="AQ12" s="237"/>
      <c r="AR12" s="237"/>
      <c r="AS12" s="237"/>
      <c r="AT12" s="237"/>
      <c r="AU12" s="237"/>
      <c r="AV12" s="237"/>
      <c r="AW12" s="237"/>
      <c r="AX12" s="237"/>
      <c r="AY12" s="237"/>
      <c r="AZ12" s="237"/>
      <c r="BA12" s="237"/>
      <c r="BB12" s="237"/>
      <c r="BC12" s="237"/>
      <c r="BD12" s="237"/>
      <c r="BE12" s="237"/>
      <c r="BF12" s="237"/>
      <c r="BG12" s="237"/>
      <c r="BH12" s="238" t="s">
        <v>142</v>
      </c>
      <c r="BI12" s="238"/>
      <c r="BJ12" s="238"/>
      <c r="BK12" s="238"/>
      <c r="BL12" s="238"/>
      <c r="BM12" s="238"/>
      <c r="BN12" s="238"/>
      <c r="BO12" s="238"/>
      <c r="BP12" s="238"/>
      <c r="BQ12" s="238"/>
      <c r="BV12" s="217" t="s">
        <v>25</v>
      </c>
      <c r="BW12" s="217"/>
      <c r="BX12" s="217"/>
      <c r="BY12" s="217"/>
      <c r="BZ12" s="217"/>
      <c r="CA12" s="217"/>
      <c r="CB12" s="217"/>
      <c r="CC12" s="217"/>
      <c r="CD12" s="217"/>
      <c r="CE12" s="217"/>
      <c r="CF12" s="217"/>
      <c r="CG12" s="217"/>
      <c r="CH12" s="217"/>
      <c r="CI12" s="217"/>
      <c r="CJ12" s="217"/>
      <c r="CK12" s="217"/>
      <c r="CL12" s="217"/>
      <c r="CM12" s="217"/>
      <c r="CN12" s="217"/>
      <c r="CO12" s="217"/>
      <c r="CP12" s="217"/>
      <c r="CQ12" s="67"/>
      <c r="CR12" s="226">
        <f ca="1">CR10</f>
        <v>0</v>
      </c>
      <c r="CS12" s="226"/>
      <c r="CT12" s="226"/>
      <c r="CU12" s="226"/>
      <c r="CV12" s="226"/>
      <c r="CW12" s="226"/>
      <c r="CX12" s="226"/>
      <c r="CY12" s="226"/>
      <c r="CZ12" s="226"/>
      <c r="DA12" s="226"/>
    </row>
    <row r="13" spans="2:158" ht="21" customHeight="1" x14ac:dyDescent="0.25">
      <c r="C13" s="231" t="s">
        <v>139</v>
      </c>
      <c r="D13" s="231"/>
      <c r="E13" s="231"/>
      <c r="F13" s="231"/>
      <c r="G13" s="231"/>
      <c r="H13" s="231"/>
      <c r="I13" s="231"/>
      <c r="J13" s="231"/>
      <c r="K13" s="231"/>
      <c r="L13" s="231"/>
      <c r="M13" s="231"/>
      <c r="N13" s="231"/>
      <c r="O13" s="231"/>
      <c r="P13" s="231"/>
      <c r="Q13" s="234"/>
      <c r="R13" s="234"/>
      <c r="S13" s="234"/>
      <c r="T13" s="234"/>
      <c r="U13" s="234"/>
      <c r="V13" s="234"/>
      <c r="W13" s="234"/>
      <c r="X13" s="234"/>
      <c r="Y13" s="234"/>
      <c r="Z13" s="235"/>
      <c r="AA13" s="233"/>
      <c r="AB13" s="234"/>
      <c r="AC13" s="234"/>
      <c r="AD13" s="234"/>
      <c r="AE13" s="234"/>
      <c r="AF13" s="234"/>
      <c r="AG13" s="234"/>
      <c r="AH13" s="234"/>
      <c r="AI13" s="234"/>
      <c r="AJ13" s="234"/>
      <c r="AL13" s="6"/>
      <c r="AM13" s="6"/>
      <c r="AN13" s="237" t="s">
        <v>78</v>
      </c>
      <c r="AO13" s="237"/>
      <c r="AP13" s="237"/>
      <c r="AQ13" s="237"/>
      <c r="AR13" s="237"/>
      <c r="AS13" s="237"/>
      <c r="AT13" s="237"/>
      <c r="AU13" s="237"/>
      <c r="AV13" s="237"/>
      <c r="AW13" s="237"/>
      <c r="AX13" s="237"/>
      <c r="AY13" s="237"/>
      <c r="AZ13" s="237"/>
      <c r="BA13" s="237"/>
      <c r="BB13" s="237"/>
      <c r="BC13" s="237"/>
      <c r="BD13" s="237"/>
      <c r="BE13" s="237"/>
      <c r="BF13" s="237"/>
      <c r="BG13" s="237"/>
      <c r="BH13" s="238">
        <v>0</v>
      </c>
      <c r="BI13" s="238"/>
      <c r="BJ13" s="238"/>
      <c r="BK13" s="238"/>
      <c r="BL13" s="238"/>
      <c r="BM13" s="238"/>
      <c r="BN13" s="238"/>
      <c r="BO13" s="238"/>
      <c r="BP13" s="238"/>
      <c r="BQ13" s="238"/>
      <c r="BV13" s="217" t="s">
        <v>70</v>
      </c>
      <c r="BW13" s="217"/>
      <c r="BX13" s="217"/>
      <c r="BY13" s="217"/>
      <c r="BZ13" s="217"/>
      <c r="CA13" s="217"/>
      <c r="CB13" s="217"/>
      <c r="CC13" s="217"/>
      <c r="CD13" s="217"/>
      <c r="CE13" s="217"/>
      <c r="CF13" s="217"/>
      <c r="CG13" s="217"/>
      <c r="CH13" s="217"/>
      <c r="CI13" s="217"/>
      <c r="CJ13" s="217"/>
      <c r="CK13" s="217"/>
      <c r="CL13" s="217"/>
      <c r="CM13" s="217"/>
      <c r="CN13" s="217"/>
      <c r="CO13" s="217"/>
      <c r="CP13" s="217"/>
      <c r="CQ13" s="67"/>
      <c r="CR13" s="226">
        <f ca="1">-SUM(CR6:DA9)</f>
        <v>0</v>
      </c>
      <c r="CS13" s="226"/>
      <c r="CT13" s="226"/>
      <c r="CU13" s="226"/>
      <c r="CV13" s="226"/>
      <c r="CW13" s="226"/>
      <c r="CX13" s="226"/>
      <c r="CY13" s="226"/>
      <c r="CZ13" s="226"/>
      <c r="DA13" s="226"/>
    </row>
    <row r="14" spans="2:158" ht="21" customHeight="1" x14ac:dyDescent="0.25">
      <c r="C14" s="231" t="s">
        <v>112</v>
      </c>
      <c r="D14" s="231"/>
      <c r="E14" s="231"/>
      <c r="F14" s="231"/>
      <c r="G14" s="231"/>
      <c r="H14" s="231"/>
      <c r="I14" s="231"/>
      <c r="J14" s="231"/>
      <c r="K14" s="231"/>
      <c r="L14" s="231"/>
      <c r="M14" s="231"/>
      <c r="N14" s="231"/>
      <c r="O14" s="231"/>
      <c r="P14" s="231"/>
      <c r="Q14" s="234"/>
      <c r="R14" s="234"/>
      <c r="S14" s="234"/>
      <c r="T14" s="234"/>
      <c r="U14" s="234"/>
      <c r="V14" s="234"/>
      <c r="W14" s="234"/>
      <c r="X14" s="234"/>
      <c r="Y14" s="234"/>
      <c r="Z14" s="235"/>
      <c r="AA14" s="233"/>
      <c r="AB14" s="234"/>
      <c r="AC14" s="234"/>
      <c r="AD14" s="234"/>
      <c r="AE14" s="234"/>
      <c r="AF14" s="234"/>
      <c r="AG14" s="234"/>
      <c r="AH14" s="234"/>
      <c r="AI14" s="234"/>
      <c r="AJ14" s="234"/>
      <c r="AL14" s="7"/>
      <c r="AM14" s="8"/>
      <c r="AN14" s="237" t="s">
        <v>80</v>
      </c>
      <c r="AO14" s="237"/>
      <c r="AP14" s="237"/>
      <c r="AQ14" s="237"/>
      <c r="AR14" s="237"/>
      <c r="AS14" s="237"/>
      <c r="AT14" s="237"/>
      <c r="AU14" s="237"/>
      <c r="AV14" s="237"/>
      <c r="AW14" s="237"/>
      <c r="AX14" s="237"/>
      <c r="AY14" s="237"/>
      <c r="AZ14" s="237"/>
      <c r="BA14" s="237"/>
      <c r="BB14" s="237"/>
      <c r="BC14" s="237"/>
      <c r="BD14" s="237"/>
      <c r="BE14" s="237"/>
      <c r="BF14" s="237"/>
      <c r="BG14" s="237"/>
      <c r="BH14" s="232">
        <v>0</v>
      </c>
      <c r="BI14" s="232"/>
      <c r="BJ14" s="232"/>
      <c r="BK14" s="232"/>
      <c r="BL14" s="232"/>
      <c r="BM14" s="232"/>
      <c r="BN14" s="232"/>
      <c r="BO14" s="232"/>
      <c r="BP14" s="232"/>
      <c r="BQ14" s="232"/>
      <c r="BV14" s="228" t="s">
        <v>6</v>
      </c>
      <c r="BW14" s="228"/>
      <c r="BX14" s="228"/>
      <c r="BY14" s="228"/>
      <c r="BZ14" s="228"/>
      <c r="CA14" s="228"/>
      <c r="CB14" s="228"/>
      <c r="CC14" s="228"/>
      <c r="CD14" s="228"/>
      <c r="CE14" s="228"/>
      <c r="CF14" s="228"/>
      <c r="CG14" s="228"/>
      <c r="CH14" s="228"/>
      <c r="CI14" s="228"/>
      <c r="CJ14" s="228"/>
      <c r="CK14" s="228"/>
      <c r="CL14" s="228"/>
      <c r="CM14" s="228"/>
      <c r="CN14" s="228"/>
      <c r="CO14" s="228"/>
      <c r="CP14" s="228"/>
      <c r="CQ14" s="67"/>
      <c r="CR14" s="229">
        <f ca="1">CR12+CR13</f>
        <v>0</v>
      </c>
      <c r="CS14" s="229"/>
      <c r="CT14" s="229"/>
      <c r="CU14" s="229"/>
      <c r="CV14" s="229"/>
      <c r="CW14" s="229"/>
      <c r="CX14" s="229"/>
      <c r="CY14" s="229"/>
      <c r="CZ14" s="229"/>
      <c r="DA14" s="229"/>
    </row>
    <row r="15" spans="2:158" ht="21" customHeight="1" x14ac:dyDescent="0.25">
      <c r="C15" s="231" t="s">
        <v>77</v>
      </c>
      <c r="D15" s="231"/>
      <c r="E15" s="231"/>
      <c r="F15" s="231"/>
      <c r="G15" s="231"/>
      <c r="H15" s="231"/>
      <c r="I15" s="231"/>
      <c r="J15" s="231"/>
      <c r="K15" s="231"/>
      <c r="L15" s="231"/>
      <c r="M15" s="231"/>
      <c r="N15" s="231"/>
      <c r="O15" s="231"/>
      <c r="P15" s="231"/>
      <c r="Q15" s="234"/>
      <c r="R15" s="234"/>
      <c r="S15" s="234"/>
      <c r="T15" s="234"/>
      <c r="U15" s="234"/>
      <c r="V15" s="234"/>
      <c r="W15" s="234"/>
      <c r="X15" s="234"/>
      <c r="Y15" s="234"/>
      <c r="Z15" s="235"/>
      <c r="AA15" s="233"/>
      <c r="AB15" s="234"/>
      <c r="AC15" s="234"/>
      <c r="AD15" s="234"/>
      <c r="AE15" s="234"/>
      <c r="AF15" s="234"/>
      <c r="AG15" s="234"/>
      <c r="AH15" s="234"/>
      <c r="AI15" s="234"/>
      <c r="AJ15" s="234"/>
      <c r="AL15" s="7"/>
      <c r="AM15" s="7"/>
      <c r="AN15" s="237" t="s">
        <v>81</v>
      </c>
      <c r="AO15" s="237"/>
      <c r="AP15" s="237"/>
      <c r="AQ15" s="237"/>
      <c r="AR15" s="237"/>
      <c r="AS15" s="237"/>
      <c r="AT15" s="237"/>
      <c r="AU15" s="237"/>
      <c r="AV15" s="237"/>
      <c r="AW15" s="237"/>
      <c r="AX15" s="237"/>
      <c r="AY15" s="237"/>
      <c r="AZ15" s="237"/>
      <c r="BA15" s="237"/>
      <c r="BB15" s="237"/>
      <c r="BC15" s="237"/>
      <c r="BD15" s="237"/>
      <c r="BE15" s="237"/>
      <c r="BF15" s="237"/>
      <c r="BG15" s="237"/>
      <c r="BH15" s="232">
        <v>0</v>
      </c>
      <c r="BI15" s="232"/>
      <c r="BJ15" s="232"/>
      <c r="BK15" s="232"/>
      <c r="BL15" s="232"/>
      <c r="BM15" s="232"/>
      <c r="BN15" s="232"/>
      <c r="BO15" s="232"/>
      <c r="BP15" s="232"/>
      <c r="BQ15" s="232"/>
      <c r="BV15" s="227" t="s">
        <v>24</v>
      </c>
      <c r="BW15" s="227"/>
      <c r="BX15" s="227"/>
      <c r="BY15" s="227"/>
      <c r="BZ15" s="227"/>
      <c r="CA15" s="227"/>
      <c r="CB15" s="227"/>
      <c r="CC15" s="227"/>
      <c r="CD15" s="227"/>
      <c r="CE15" s="227"/>
      <c r="CF15" s="227"/>
      <c r="CG15" s="227"/>
      <c r="CH15" s="227"/>
      <c r="CI15" s="227"/>
      <c r="CJ15" s="227"/>
      <c r="CK15" s="227"/>
      <c r="CL15" s="227"/>
      <c r="CM15" s="224">
        <v>0.2</v>
      </c>
      <c r="CN15" s="225"/>
      <c r="CO15" s="225"/>
      <c r="CP15" s="225"/>
      <c r="CQ15" s="67"/>
      <c r="CR15" s="230">
        <f ca="1">CR14*CM15</f>
        <v>0</v>
      </c>
      <c r="CS15" s="230"/>
      <c r="CT15" s="230"/>
      <c r="CU15" s="230"/>
      <c r="CV15" s="230"/>
      <c r="CW15" s="230"/>
      <c r="CX15" s="230"/>
      <c r="CY15" s="230"/>
      <c r="CZ15" s="230"/>
      <c r="DA15" s="230"/>
    </row>
    <row r="16" spans="2:158" ht="21" customHeight="1" x14ac:dyDescent="0.2">
      <c r="C16" s="259" t="str">
        <f>IF(AND(OR(RegOutrosServ="",RegOutrosServ=0),OR(RegOutrasEmpresas="",RegOutrasEmpresas=0)),"","Total Geral dos Serviços no Mês ==&gt;")</f>
        <v/>
      </c>
      <c r="D16" s="259"/>
      <c r="E16" s="259"/>
      <c r="F16" s="259"/>
      <c r="G16" s="259"/>
      <c r="H16" s="259"/>
      <c r="I16" s="259"/>
      <c r="J16" s="259"/>
      <c r="K16" s="259"/>
      <c r="L16" s="259"/>
      <c r="M16" s="259"/>
      <c r="N16" s="259"/>
      <c r="O16" s="259"/>
      <c r="P16" s="259"/>
      <c r="Q16" s="259"/>
      <c r="R16" s="259"/>
      <c r="S16" s="259"/>
      <c r="T16" s="259"/>
      <c r="U16" s="259"/>
      <c r="V16" s="259"/>
      <c r="W16" s="259"/>
      <c r="X16" s="259"/>
      <c r="Y16" s="259"/>
      <c r="Z16" s="259"/>
      <c r="AA16" s="258" t="str">
        <f>IF(C16="","",RegValor+RegOutrosServ+RegOutrasEmpresas)</f>
        <v/>
      </c>
      <c r="AB16" s="258"/>
      <c r="AC16" s="258"/>
      <c r="AD16" s="258"/>
      <c r="AE16" s="258"/>
      <c r="AF16" s="258"/>
      <c r="AG16" s="258"/>
      <c r="AH16" s="258"/>
      <c r="AI16" s="258"/>
      <c r="AJ16" s="258"/>
      <c r="BH16" s="236" t="str">
        <f ca="1">"último registro: " &amp; MaiorRPA</f>
        <v>último registro: 0</v>
      </c>
      <c r="BI16" s="236"/>
      <c r="BJ16" s="236"/>
      <c r="BK16" s="236"/>
      <c r="BL16" s="236"/>
      <c r="BM16" s="236"/>
      <c r="BN16" s="236"/>
      <c r="BO16" s="236"/>
      <c r="BP16" s="236"/>
      <c r="BQ16" s="236"/>
      <c r="BR16" s="236"/>
      <c r="BS16" s="109"/>
      <c r="BV16" s="222" t="s">
        <v>26</v>
      </c>
      <c r="BW16" s="222"/>
      <c r="BX16" s="222"/>
      <c r="BY16" s="222"/>
      <c r="BZ16" s="222"/>
      <c r="CA16" s="222"/>
      <c r="CB16" s="222"/>
      <c r="CC16" s="222"/>
      <c r="CD16" s="222"/>
      <c r="CE16" s="222"/>
      <c r="CF16" s="222"/>
      <c r="CG16" s="222"/>
      <c r="CH16" s="222"/>
      <c r="CI16" s="222"/>
      <c r="CJ16" s="222"/>
      <c r="CK16" s="222"/>
      <c r="CL16" s="222"/>
      <c r="CM16" s="222"/>
      <c r="CN16" s="222"/>
      <c r="CO16" s="222"/>
      <c r="CP16" s="222"/>
      <c r="CQ16" s="67"/>
      <c r="CR16" s="223">
        <f ca="1">CR14+CR15</f>
        <v>0</v>
      </c>
      <c r="CS16" s="223"/>
      <c r="CT16" s="223"/>
      <c r="CU16" s="223"/>
      <c r="CV16" s="223"/>
      <c r="CW16" s="223"/>
      <c r="CX16" s="223"/>
      <c r="CY16" s="223"/>
      <c r="CZ16" s="223"/>
      <c r="DA16" s="223"/>
    </row>
    <row r="17" spans="3:105" ht="18" customHeight="1" x14ac:dyDescent="0.25">
      <c r="G17" s="209"/>
      <c r="H17" s="209"/>
      <c r="I17" s="209"/>
      <c r="J17" s="209"/>
      <c r="K17" s="209"/>
      <c r="L17" s="209"/>
      <c r="M17" s="209"/>
      <c r="N17" s="209"/>
      <c r="O17" s="209"/>
      <c r="P17" s="209"/>
      <c r="Q17" s="209"/>
      <c r="R17" s="209"/>
      <c r="S17" s="209"/>
      <c r="T17" s="209"/>
      <c r="U17" s="209"/>
      <c r="V17" s="209"/>
      <c r="W17" s="209"/>
      <c r="X17" s="209"/>
      <c r="Y17" s="209"/>
      <c r="Z17" s="209"/>
      <c r="AA17" s="209"/>
      <c r="AB17" s="209"/>
      <c r="AC17" s="209"/>
      <c r="AD17" s="209"/>
      <c r="AE17" s="209"/>
      <c r="AF17" s="209"/>
      <c r="AG17" s="209"/>
      <c r="AH17" s="209"/>
      <c r="AI17" s="209"/>
      <c r="AJ17" s="209"/>
      <c r="AK17" s="209"/>
      <c r="AL17" s="209"/>
      <c r="AM17" s="209"/>
      <c r="AN17" s="209"/>
      <c r="AO17" s="209"/>
      <c r="AP17" s="209"/>
      <c r="AQ17" s="209"/>
      <c r="AR17" s="209"/>
      <c r="AS17" s="209"/>
      <c r="AT17" s="209"/>
      <c r="AU17" s="209"/>
      <c r="AV17" s="209"/>
      <c r="AW17" s="209"/>
      <c r="AX17" s="209"/>
      <c r="AY17" s="209"/>
      <c r="AZ17" s="209"/>
      <c r="BA17" s="209"/>
      <c r="BB17" s="209"/>
      <c r="BC17" s="209"/>
      <c r="BD17" s="209"/>
      <c r="BE17" s="209"/>
      <c r="BF17" s="209"/>
      <c r="BG17" s="209"/>
      <c r="BH17" s="209"/>
      <c r="BI17" s="209"/>
      <c r="BJ17" s="209"/>
      <c r="BK17" s="209"/>
      <c r="BV17" s="68"/>
      <c r="BW17" s="68"/>
      <c r="BX17" s="68"/>
      <c r="BY17" s="68"/>
      <c r="BZ17" s="68"/>
      <c r="CA17" s="68"/>
      <c r="CB17" s="68"/>
      <c r="CC17" s="68"/>
      <c r="CD17" s="68"/>
      <c r="CE17" s="68"/>
      <c r="CF17" s="68"/>
      <c r="CG17" s="68"/>
      <c r="CH17" s="68"/>
      <c r="CI17" s="68"/>
      <c r="CJ17" s="68"/>
      <c r="CK17" s="68"/>
      <c r="CL17" s="68"/>
      <c r="CM17" s="68"/>
      <c r="CN17" s="68"/>
      <c r="CO17" s="68"/>
      <c r="CP17" s="68"/>
      <c r="CQ17" s="68"/>
      <c r="CR17" s="68"/>
      <c r="CS17" s="68"/>
      <c r="CT17" s="68"/>
      <c r="CU17" s="68"/>
      <c r="CV17" s="68"/>
      <c r="CW17" s="68"/>
      <c r="CX17" s="68"/>
      <c r="CY17" s="68"/>
      <c r="CZ17" s="68"/>
      <c r="DA17" s="68"/>
    </row>
    <row r="18" spans="3:105" ht="21" customHeight="1" x14ac:dyDescent="0.25">
      <c r="G18" s="209"/>
      <c r="H18" s="209"/>
      <c r="I18" s="209"/>
      <c r="J18" s="209"/>
      <c r="K18" s="209"/>
      <c r="L18" s="209"/>
      <c r="M18" s="209"/>
      <c r="N18" s="209"/>
      <c r="O18" s="209"/>
      <c r="P18" s="209"/>
      <c r="Q18" s="209"/>
      <c r="R18" s="209"/>
      <c r="S18" s="209"/>
      <c r="T18" s="209"/>
      <c r="U18" s="209"/>
      <c r="V18" s="209"/>
      <c r="W18" s="209"/>
      <c r="X18" s="209"/>
      <c r="Y18" s="209"/>
      <c r="Z18" s="209"/>
      <c r="AA18" s="209"/>
      <c r="AB18" s="209"/>
      <c r="AC18" s="209"/>
      <c r="AD18" s="209"/>
      <c r="AE18" s="209"/>
      <c r="AF18" s="209"/>
      <c r="AG18" s="209"/>
      <c r="AH18" s="209"/>
      <c r="AI18" s="209"/>
      <c r="AJ18" s="209"/>
      <c r="AK18" s="209"/>
      <c r="AL18" s="209"/>
      <c r="AM18" s="209"/>
      <c r="AN18" s="209"/>
      <c r="AO18" s="209"/>
      <c r="AP18" s="209"/>
      <c r="AQ18" s="209"/>
      <c r="AR18" s="209"/>
      <c r="AS18" s="209"/>
      <c r="AT18" s="209"/>
      <c r="AU18" s="209"/>
      <c r="AV18" s="209"/>
      <c r="AW18" s="209"/>
      <c r="AX18" s="209"/>
      <c r="AY18" s="209"/>
      <c r="AZ18" s="209"/>
      <c r="BA18" s="209"/>
      <c r="BB18" s="209"/>
      <c r="BC18" s="209"/>
      <c r="BD18" s="209"/>
      <c r="BE18" s="209"/>
      <c r="BF18" s="209"/>
      <c r="BG18" s="209"/>
      <c r="BH18" s="209"/>
      <c r="BI18" s="209"/>
      <c r="BJ18" s="209"/>
      <c r="BK18" s="209"/>
    </row>
    <row r="19" spans="3:105" ht="15.75" customHeight="1" x14ac:dyDescent="0.25"/>
    <row r="20" spans="3:105" ht="21" customHeight="1" x14ac:dyDescent="0.25"/>
    <row r="21" spans="3:105" ht="21" customHeight="1" x14ac:dyDescent="0.25"/>
    <row r="22" spans="3:105" ht="21" customHeight="1" x14ac:dyDescent="0.25"/>
    <row r="23" spans="3:105" ht="21" customHeight="1" x14ac:dyDescent="0.25"/>
    <row r="24" spans="3:105" ht="21" customHeight="1" x14ac:dyDescent="0.25"/>
    <row r="25" spans="3:105" ht="21" customHeight="1" x14ac:dyDescent="0.25"/>
    <row r="26" spans="3:105" ht="21" customHeight="1" x14ac:dyDescent="0.25">
      <c r="C26" s="4"/>
      <c r="D26" s="4"/>
      <c r="E26" s="4"/>
      <c r="F26" s="4"/>
      <c r="G26" s="4"/>
      <c r="H26" s="4"/>
      <c r="I26" s="4"/>
      <c r="J26" s="4"/>
      <c r="K26" s="4"/>
      <c r="L26" s="4"/>
      <c r="M26" s="4"/>
      <c r="N26" s="4"/>
      <c r="O26" s="4"/>
      <c r="P26" s="4"/>
      <c r="Q26" s="4"/>
      <c r="T26" s="4"/>
      <c r="U26" s="4"/>
      <c r="V26" s="4"/>
    </row>
    <row r="27" spans="3:105" ht="21" customHeight="1" x14ac:dyDescent="0.25">
      <c r="C27" s="4"/>
      <c r="D27" s="4"/>
      <c r="E27" s="4"/>
      <c r="F27" s="4"/>
      <c r="G27" s="4"/>
      <c r="H27" s="4"/>
      <c r="I27" s="4"/>
      <c r="J27" s="4"/>
      <c r="K27" s="4"/>
      <c r="L27" s="4"/>
      <c r="M27" s="4"/>
      <c r="N27" s="4"/>
      <c r="O27" s="4"/>
      <c r="P27" s="4"/>
      <c r="Q27" s="4"/>
      <c r="T27" s="4"/>
      <c r="U27" s="4"/>
      <c r="V27" s="4"/>
    </row>
  </sheetData>
  <sheetProtection algorithmName="SHA-512" hashValue="2CH/N5Arqh7WvVfeUkWOj5DDwI8HLvNy0mKdpGiXZSygdOktEcbclSBxQdARK3j5a5UY2RsmCnzNDF6T5p+L5w==" saltValue="58qZT04BOhj0CmL7vvrxow==" spinCount="100000" sheet="1" objects="1" scenarios="1" selectLockedCells="1"/>
  <mergeCells count="95">
    <mergeCell ref="EW2:FB2"/>
    <mergeCell ref="AA16:AJ16"/>
    <mergeCell ref="C16:Z16"/>
    <mergeCell ref="AP2:AR2"/>
    <mergeCell ref="EF2:EL2"/>
    <mergeCell ref="AA11:AJ11"/>
    <mergeCell ref="Q11:Z11"/>
    <mergeCell ref="C11:P11"/>
    <mergeCell ref="CR5:DA5"/>
    <mergeCell ref="BV6:CP6"/>
    <mergeCell ref="CR6:DA6"/>
    <mergeCell ref="AS2:BA2"/>
    <mergeCell ref="X2:AA2"/>
    <mergeCell ref="AI2:AO2"/>
    <mergeCell ref="AB2:AH2"/>
    <mergeCell ref="C5:P5"/>
    <mergeCell ref="C7:P7"/>
    <mergeCell ref="C6:P6"/>
    <mergeCell ref="BV9:CP9"/>
    <mergeCell ref="BV2:CD2"/>
    <mergeCell ref="BL5:BR5"/>
    <mergeCell ref="BC2:BD2"/>
    <mergeCell ref="AS6:AV6"/>
    <mergeCell ref="Q5:Y5"/>
    <mergeCell ref="EQ2:EV2"/>
    <mergeCell ref="BH12:BQ12"/>
    <mergeCell ref="Q6:AI6"/>
    <mergeCell ref="Q7:AV7"/>
    <mergeCell ref="AX7:BA7"/>
    <mergeCell ref="Q9:BR10"/>
    <mergeCell ref="Q8:AV8"/>
    <mergeCell ref="AL12:BG12"/>
    <mergeCell ref="AX8:BA8"/>
    <mergeCell ref="BB8:BR8"/>
    <mergeCell ref="BV5:CP5"/>
    <mergeCell ref="BV7:CP7"/>
    <mergeCell ref="C12:P12"/>
    <mergeCell ref="C9:P10"/>
    <mergeCell ref="C8:P8"/>
    <mergeCell ref="CG2:CN2"/>
    <mergeCell ref="BG6:BP6"/>
    <mergeCell ref="BB7:BR7"/>
    <mergeCell ref="BV11:DA11"/>
    <mergeCell ref="S2:U2"/>
    <mergeCell ref="V2:W2"/>
    <mergeCell ref="CR9:DA9"/>
    <mergeCell ref="BV10:CP10"/>
    <mergeCell ref="CR10:DA10"/>
    <mergeCell ref="B2:I2"/>
    <mergeCell ref="Q2:R2"/>
    <mergeCell ref="J2:P2"/>
    <mergeCell ref="BL2:BR2"/>
    <mergeCell ref="BH16:BR16"/>
    <mergeCell ref="BH15:BQ15"/>
    <mergeCell ref="AN14:BG14"/>
    <mergeCell ref="AN13:BG13"/>
    <mergeCell ref="AN15:BG15"/>
    <mergeCell ref="BH13:BQ13"/>
    <mergeCell ref="C13:P13"/>
    <mergeCell ref="BH14:BQ14"/>
    <mergeCell ref="AA15:AJ15"/>
    <mergeCell ref="AA14:AJ14"/>
    <mergeCell ref="AA13:AJ13"/>
    <mergeCell ref="Q13:Z13"/>
    <mergeCell ref="Q15:Z15"/>
    <mergeCell ref="Q14:Z14"/>
    <mergeCell ref="C15:P15"/>
    <mergeCell ref="C14:P14"/>
    <mergeCell ref="BV16:CP16"/>
    <mergeCell ref="CR16:DA16"/>
    <mergeCell ref="CM15:CP15"/>
    <mergeCell ref="BV12:CP12"/>
    <mergeCell ref="CR12:DA12"/>
    <mergeCell ref="BV13:CP13"/>
    <mergeCell ref="CR13:DA13"/>
    <mergeCell ref="BV15:CL15"/>
    <mergeCell ref="BV14:CP14"/>
    <mergeCell ref="CR14:DA14"/>
    <mergeCell ref="CR15:DA15"/>
    <mergeCell ref="G17:BK18"/>
    <mergeCell ref="DK2:DQ2"/>
    <mergeCell ref="DR2:DX2"/>
    <mergeCell ref="DY2:EE2"/>
    <mergeCell ref="AA12:AJ12"/>
    <mergeCell ref="Q12:Z12"/>
    <mergeCell ref="DD2:DH2"/>
    <mergeCell ref="CO2:CS2"/>
    <mergeCell ref="CT2:CX2"/>
    <mergeCell ref="CY2:DC2"/>
    <mergeCell ref="BV8:CP8"/>
    <mergeCell ref="CR8:DA8"/>
    <mergeCell ref="CR7:DA7"/>
    <mergeCell ref="BH2:BJ2"/>
    <mergeCell ref="BG4:BR4"/>
    <mergeCell ref="BV4:DA4"/>
  </mergeCells>
  <conditionalFormatting sqref="S29:V46 C29:Q46 Q5:Q6 Q8:Q9 Q14">
    <cfRule type="expression" dxfId="27" priority="29">
      <formula>$S4&lt;&gt;""</formula>
    </cfRule>
  </conditionalFormatting>
  <conditionalFormatting sqref="S4:V4 C4:Q4">
    <cfRule type="expression" dxfId="26" priority="32">
      <formula>#REF!&lt;&gt;""</formula>
    </cfRule>
  </conditionalFormatting>
  <conditionalFormatting sqref="S28:V28 CI12:CL14 CI16:CL16 BV15 C28:Q28 BV12:CG14 BV16:CG16 BV4:CG10">
    <cfRule type="expression" dxfId="25" priority="42">
      <formula>#REF!&lt;&gt;""</formula>
    </cfRule>
  </conditionalFormatting>
  <conditionalFormatting sqref="CI4:CL10">
    <cfRule type="expression" dxfId="24" priority="15">
      <formula>#REF!&lt;&gt;""</formula>
    </cfRule>
  </conditionalFormatting>
  <conditionalFormatting sqref="Q7">
    <cfRule type="expression" dxfId="23" priority="186">
      <formula>$S6&lt;&gt;""</formula>
    </cfRule>
  </conditionalFormatting>
  <conditionalFormatting sqref="CI11:CL11 BV11:CG11">
    <cfRule type="expression" dxfId="22" priority="355">
      <formula>#REF!&lt;&gt;""</formula>
    </cfRule>
  </conditionalFormatting>
  <conditionalFormatting sqref="AA12:AA13">
    <cfRule type="expression" dxfId="21" priority="8">
      <formula>$S9&lt;&gt;""</formula>
    </cfRule>
  </conditionalFormatting>
  <conditionalFormatting sqref="BG4:BR4">
    <cfRule type="expression" dxfId="20" priority="5">
      <formula>$BG$4="NOVO"</formula>
    </cfRule>
    <cfRule type="expression" dxfId="19" priority="6">
      <formula>$BG$4="EDITANDO"</formula>
    </cfRule>
  </conditionalFormatting>
  <conditionalFormatting sqref="Q12:Q13">
    <cfRule type="expression" dxfId="18" priority="2">
      <formula>$S9&lt;&gt;""</formula>
    </cfRule>
  </conditionalFormatting>
  <conditionalFormatting sqref="AA15">
    <cfRule type="expression" dxfId="17" priority="589">
      <formula>$S13&lt;&gt;""</formula>
    </cfRule>
  </conditionalFormatting>
  <conditionalFormatting sqref="AA14">
    <cfRule type="expression" dxfId="16" priority="591">
      <formula>$AC13&lt;&gt;""</formula>
    </cfRule>
  </conditionalFormatting>
  <conditionalFormatting sqref="Q15">
    <cfRule type="expression" dxfId="15" priority="593">
      <formula>$AC13&lt;&gt;""</formula>
    </cfRule>
  </conditionalFormatting>
  <conditionalFormatting sqref="C16 AA16">
    <cfRule type="expression" dxfId="14" priority="1">
      <formula>$C$16&lt;&gt;""</formula>
    </cfRule>
  </conditionalFormatting>
  <dataValidations count="11">
    <dataValidation type="list" allowBlank="1" showInputMessage="1" showErrorMessage="1" sqref="BH12:BQ12" xr:uid="{CD12FA98-376C-436A-978E-66CFE241B4DA}">
      <formula1>"SIM,NÃO"</formula1>
    </dataValidation>
    <dataValidation type="decimal" allowBlank="1" showInputMessage="1" showErrorMessage="1" errorTitle="ERRO!" error="A soma dos recolhimentos anteriores, dentro do mesmo mês de competência, não pode ser superior ao teto de recolhimento ao INSS, bem como não pode ser registrado valor com sinal negativo." sqref="AA15 Q14:Z14" xr:uid="{33B5B8EC-93A6-44D4-9FA5-D36BF8245009}">
      <formula1>0</formula1>
      <formula2>VlrMaxContrib</formula2>
    </dataValidation>
    <dataValidation type="date" allowBlank="1" showInputMessage="1" showErrorMessage="1" errorTitle="ERRO!" error="O dado digitado não é uma data válida!" sqref="Q5:Y5" xr:uid="{250EFC35-7D7A-43B6-B53F-B37A1FC9F592}">
      <formula1>36526</formula1>
      <formula2>46022</formula2>
    </dataValidation>
    <dataValidation type="decimal" allowBlank="1" showInputMessage="1" showErrorMessage="1" errorTitle="ERRO!" error="Dado digitado não corresponde a um número válido, bem como não pode ser registrado valor com sinal negativo." sqref="Q12" xr:uid="{3834610E-96B9-4311-AA57-E4FACB1CE189}">
      <formula1>1</formula1>
      <formula2>999999999</formula2>
    </dataValidation>
    <dataValidation type="decimal" allowBlank="1" showInputMessage="1" showErrorMessage="1" errorTitle="ERRO!" error="O dado digitado não corresponde a um valor válido!" sqref="AA12:AA13" xr:uid="{8BBEF2DE-3CA5-44AE-8ED5-3AA2390CC4FC}">
      <formula1>0</formula1>
      <formula2>9999999</formula2>
    </dataValidation>
    <dataValidation type="decimal" allowBlank="1" showInputMessage="1" showErrorMessage="1" errorTitle="ERRO!" error="Dado digitado não corresponde a um número válido, bem como não pode ser registrado valor com sinal negativo._x000a_" sqref="AA14 Q15:Z15" xr:uid="{838F2DFC-8B69-4200-AA75-DE4B45C9A968}">
      <formula1>0</formula1>
      <formula2>99999999</formula2>
    </dataValidation>
    <dataValidation type="list" allowBlank="1" showInputMessage="1" showErrorMessage="1" sqref="BB8:BR8" xr:uid="{641EDC8E-7B88-4856-90C1-4A2C97E66152}">
      <formula1>TipoServNome</formula1>
    </dataValidation>
    <dataValidation type="decimal" allowBlank="1" showInputMessage="1" showErrorMessage="1" errorTitle="ERRO!" error="Dado digitado não corresponde a um número válido, bem como não pode ser registrado valor com sinal negativo." sqref="Q13:Z13" xr:uid="{5966A00E-E7B1-46A4-A69B-3BC1F5AD9C17}">
      <formula1>0</formula1>
      <formula2>999999999</formula2>
    </dataValidation>
    <dataValidation type="list" allowBlank="1" showInputMessage="1" showErrorMessage="1" errorTitle="ERRO!" error="Escolha uma das cidades cadastradas, através do botão de seleção à direita." sqref="Q6" xr:uid="{534D97F3-1C90-41A3-8F7F-4B71D3F92637}">
      <formula1>Cidades</formula1>
    </dataValidation>
    <dataValidation type="list" allowBlank="1" showInputMessage="1" showErrorMessage="1" errorTitle="ERRO!" error="Escolha um dos tomadores cadastrados, através do botão de seleção à direita." sqref="Q7" xr:uid="{6D691170-5B61-421C-8FE2-9616A1BFF2BF}">
      <formula1>TomadoresNomes</formula1>
    </dataValidation>
    <dataValidation type="list" allowBlank="1" showInputMessage="1" showErrorMessage="1" errorTitle="ERRO!" error="Escolha um dos prestadores de serviços cadastrados, através do botão de seleção à direita." sqref="Q8" xr:uid="{A07DC881-059B-42C2-99A7-0F0247D45206}">
      <formula1>PrestadoresNomes</formula1>
    </dataValidation>
  </dataValidations>
  <pageMargins left="0.51181102362204722" right="0.51181102362204722" top="2.1259842519685042" bottom="0.35433070866141736" header="1.299212598425197" footer="0.11811023622047245"/>
  <pageSetup paperSize="9" scale="75" orientation="landscape" r:id="rId1"/>
  <headerFooter>
    <oddHeader>&amp;C&amp;"-,Negrito"&amp;14DADOS DE EMISSÃO DO RECIBO DE PAGAMENTO A AUTÔNOMO - RPA</oddHeader>
    <oddFooter>&amp;L&amp;8&amp;Z&amp;F&amp;R&amp;D / &amp;T</oddFooter>
  </headerFooter>
  <drawing r:id="rId2"/>
  <legacyDrawing r:id="rId3"/>
  <controls>
    <mc:AlternateContent xmlns:mc="http://schemas.openxmlformats.org/markup-compatibility/2006">
      <mc:Choice Requires="x14">
        <control shapeId="16410" r:id="rId4" name="SpinButton1">
          <controlPr locked="0" defaultSize="0" disabled="1" autoLine="0" linkedCell="BL2" r:id="rId5">
            <anchor moveWithCells="1">
              <from>
                <xdr:col>67</xdr:col>
                <xdr:colOff>104775</xdr:colOff>
                <xdr:row>4</xdr:row>
                <xdr:rowOff>0</xdr:rowOff>
              </from>
              <to>
                <xdr:col>70</xdr:col>
                <xdr:colOff>9525</xdr:colOff>
                <xdr:row>5</xdr:row>
                <xdr:rowOff>9525</xdr:rowOff>
              </to>
            </anchor>
          </controlPr>
        </control>
      </mc:Choice>
      <mc:Fallback>
        <control shapeId="16410" r:id="rId4" name="SpinButton1"/>
      </mc:Fallback>
    </mc:AlternateContent>
    <mc:AlternateContent xmlns:mc="http://schemas.openxmlformats.org/markup-compatibility/2006">
      <mc:Choice Requires="x14">
        <control shapeId="16415" r:id="rId6" name="CheckBoxNovo">
          <controlPr defaultSize="0" autoLine="0" linkedCell="Novo_Editar" r:id="rId7">
            <anchor moveWithCells="1">
              <from>
                <xdr:col>51</xdr:col>
                <xdr:colOff>66675</xdr:colOff>
                <xdr:row>4</xdr:row>
                <xdr:rowOff>19050</xdr:rowOff>
              </from>
              <to>
                <xdr:col>56</xdr:col>
                <xdr:colOff>104775</xdr:colOff>
                <xdr:row>5</xdr:row>
                <xdr:rowOff>0</xdr:rowOff>
              </to>
            </anchor>
          </controlPr>
        </control>
      </mc:Choice>
      <mc:Fallback>
        <control shapeId="16415" r:id="rId6" name="CheckBoxNovo"/>
      </mc:Fallback>
    </mc:AlternateContent>
    <mc:AlternateContent xmlns:mc="http://schemas.openxmlformats.org/markup-compatibility/2006">
      <mc:Choice Requires="x14">
        <control shapeId="16420" r:id="rId8" name="CheckBoxCancelar">
          <controlPr defaultSize="0" autoLine="0" linkedCell="CG2" r:id="rId9">
            <anchor moveWithCells="1">
              <from>
                <xdr:col>62</xdr:col>
                <xdr:colOff>104775</xdr:colOff>
                <xdr:row>5</xdr:row>
                <xdr:rowOff>47625</xdr:rowOff>
              </from>
              <to>
                <xdr:col>69</xdr:col>
                <xdr:colOff>95250</xdr:colOff>
                <xdr:row>5</xdr:row>
                <xdr:rowOff>228600</xdr:rowOff>
              </to>
            </anchor>
          </controlPr>
        </control>
      </mc:Choice>
      <mc:Fallback>
        <control shapeId="16420" r:id="rId8" name="CheckBoxCancelar"/>
      </mc:Fallback>
    </mc:AlternateContent>
    <mc:AlternateContent xmlns:mc="http://schemas.openxmlformats.org/markup-compatibility/2006">
      <mc:Choice Requires="x14">
        <control shapeId="16501" r:id="rId10" name="MostrarMsgRegistro">
          <controlPr defaultSize="0" autoLine="0" linkedCell="J2" r:id="rId11">
            <anchor moveWithCells="1">
              <from>
                <xdr:col>7</xdr:col>
                <xdr:colOff>9525</xdr:colOff>
                <xdr:row>16</xdr:row>
                <xdr:rowOff>47625</xdr:rowOff>
              </from>
              <to>
                <xdr:col>30</xdr:col>
                <xdr:colOff>85725</xdr:colOff>
                <xdr:row>17</xdr:row>
                <xdr:rowOff>28575</xdr:rowOff>
              </to>
            </anchor>
          </controlPr>
        </control>
      </mc:Choice>
      <mc:Fallback>
        <control shapeId="16501" r:id="rId10" name="MostrarMsgRegistro"/>
      </mc:Fallback>
    </mc:AlternateContent>
    <mc:AlternateContent xmlns:mc="http://schemas.openxmlformats.org/markup-compatibility/2006">
      <mc:Choice Requires="x14">
        <control shapeId="16502" r:id="rId12" name="MostrarMsgImpressao">
          <controlPr defaultSize="0" autoLine="0" linkedCell="B2" r:id="rId13">
            <anchor moveWithCells="1">
              <from>
                <xdr:col>31</xdr:col>
                <xdr:colOff>66675</xdr:colOff>
                <xdr:row>16</xdr:row>
                <xdr:rowOff>47625</xdr:rowOff>
              </from>
              <to>
                <xdr:col>61</xdr:col>
                <xdr:colOff>38100</xdr:colOff>
                <xdr:row>17</xdr:row>
                <xdr:rowOff>38100</xdr:rowOff>
              </to>
            </anchor>
          </controlPr>
        </control>
      </mc:Choice>
      <mc:Fallback>
        <control shapeId="16502" r:id="rId12" name="MostrarMsgImpressao"/>
      </mc:Fallback>
    </mc:AlternateContent>
    <mc:AlternateContent xmlns:mc="http://schemas.openxmlformats.org/markup-compatibility/2006">
      <mc:Choice Requires="x14">
        <control shapeId="16434" r:id="rId14" name="Group Box 50">
          <controlPr defaultSize="0" autoFill="0" autoPict="0">
            <anchor moveWithCells="1">
              <from>
                <xdr:col>37</xdr:col>
                <xdr:colOff>38100</xdr:colOff>
                <xdr:row>10</xdr:row>
                <xdr:rowOff>142875</xdr:rowOff>
              </from>
              <to>
                <xdr:col>69</xdr:col>
                <xdr:colOff>104775</xdr:colOff>
                <xdr:row>15</xdr:row>
                <xdr:rowOff>95250</xdr:rowOff>
              </to>
            </anchor>
          </controlPr>
        </control>
      </mc:Choice>
    </mc:AlternateContent>
    <mc:AlternateContent xmlns:mc="http://schemas.openxmlformats.org/markup-compatibility/2006">
      <mc:Choice Requires="x14">
        <control shapeId="16389" r:id="rId15" name="Group Box 5">
          <controlPr defaultSize="0" autoFill="0" autoPict="0">
            <anchor moveWithCells="1">
              <from>
                <xdr:col>1</xdr:col>
                <xdr:colOff>19050</xdr:colOff>
                <xdr:row>3</xdr:row>
                <xdr:rowOff>0</xdr:rowOff>
              </from>
              <to>
                <xdr:col>71</xdr:col>
                <xdr:colOff>38100</xdr:colOff>
                <xdr:row>16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36" id="{9E8899CC-ABA6-49E8-9B27-8C76F762CD2E}">
            <xm:f>'Cad. Tomadores'!$B4&lt;&gt;""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CH4</xm:sqref>
        </x14:conditionalFormatting>
        <x14:conditionalFormatting xmlns:xm="http://schemas.microsoft.com/office/excel/2006/main">
          <x14:cfRule type="expression" priority="336"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R4</xm:sqref>
        </x14:conditionalFormatting>
        <x14:conditionalFormatting xmlns:xm="http://schemas.microsoft.com/office/excel/2006/main">
          <x14:cfRule type="expression" priority="555"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CH5</xm:sqref>
        </x14:conditionalFormatting>
        <x14:conditionalFormatting xmlns:xm="http://schemas.microsoft.com/office/excel/2006/main">
          <x14:cfRule type="expression" priority="556"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CH10</xm:sqref>
        </x14:conditionalFormatting>
        <x14:conditionalFormatting xmlns:xm="http://schemas.microsoft.com/office/excel/2006/main">
          <x14:cfRule type="expression" priority="557"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CH9 CH14</xm:sqref>
        </x14:conditionalFormatting>
        <x14:conditionalFormatting xmlns:xm="http://schemas.microsoft.com/office/excel/2006/main">
          <x14:cfRule type="expression" priority="559"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CH7:CH8</xm:sqref>
        </x14:conditionalFormatting>
        <x14:conditionalFormatting xmlns:xm="http://schemas.microsoft.com/office/excel/2006/main">
          <x14:cfRule type="expression" priority="560"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CH6</xm:sqref>
        </x14:conditionalFormatting>
        <x14:conditionalFormatting xmlns:xm="http://schemas.microsoft.com/office/excel/2006/main">
          <x14:cfRule type="expression" priority="561"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CH16</xm:sqref>
        </x14:conditionalFormatting>
        <x14:conditionalFormatting xmlns:xm="http://schemas.microsoft.com/office/excel/2006/main">
          <x14:cfRule type="expression" priority="562"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CH13</xm:sqref>
        </x14:conditionalFormatting>
        <x14:conditionalFormatting xmlns:xm="http://schemas.microsoft.com/office/excel/2006/main">
          <x14:cfRule type="expression" priority="563"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CH12</xm:sqref>
        </x14:conditionalFormatting>
        <x14:conditionalFormatting xmlns:xm="http://schemas.microsoft.com/office/excel/2006/main">
          <x14:cfRule type="expression" priority="564"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CH11 R28:R46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_RPA">
    <pageSetUpPr fitToPage="1"/>
  </sheetPr>
  <dimension ref="F1:CJ106"/>
  <sheetViews>
    <sheetView showGridLines="0" zoomScale="115" zoomScaleNormal="115" workbookViewId="0">
      <selection activeCell="BO90" sqref="BO90"/>
    </sheetView>
  </sheetViews>
  <sheetFormatPr defaultColWidth="1.7109375" defaultRowHeight="9.9499999999999993" customHeight="1" x14ac:dyDescent="0.25"/>
  <cols>
    <col min="1" max="7" width="1.7109375" style="177" customWidth="1"/>
    <col min="8" max="8" width="1.7109375" style="187" customWidth="1"/>
    <col min="9" max="60" width="1.7109375" style="177"/>
    <col min="61" max="61" width="1.7109375" style="177" customWidth="1"/>
    <col min="62" max="16384" width="1.7109375" style="177"/>
  </cols>
  <sheetData>
    <row r="1" spans="6:88" ht="11.25" customHeight="1" x14ac:dyDescent="0.25"/>
    <row r="2" spans="6:88" ht="11.25" x14ac:dyDescent="0.25">
      <c r="G2" s="297" t="str">
        <f>"RECIBO DE PAGAMENTO À AUTÔNOMO Nº "&amp;[0]!RegNroRPA</f>
        <v>RECIBO DE PAGAMENTO À AUTÔNOMO Nº 1</v>
      </c>
      <c r="H2" s="297"/>
      <c r="I2" s="297"/>
      <c r="J2" s="297"/>
      <c r="K2" s="297"/>
      <c r="L2" s="297"/>
      <c r="M2" s="297"/>
      <c r="N2" s="297"/>
      <c r="O2" s="297"/>
      <c r="P2" s="297"/>
      <c r="Q2" s="297"/>
      <c r="R2" s="297"/>
      <c r="S2" s="297"/>
      <c r="T2" s="297"/>
      <c r="U2" s="297"/>
      <c r="V2" s="297"/>
      <c r="W2" s="297"/>
      <c r="X2" s="297"/>
      <c r="Y2" s="297"/>
      <c r="Z2" s="297"/>
      <c r="AA2" s="297"/>
      <c r="AB2" s="297"/>
      <c r="AC2" s="297"/>
      <c r="AD2" s="297"/>
      <c r="AE2" s="297"/>
      <c r="AF2" s="297"/>
      <c r="AG2" s="297"/>
      <c r="AH2" s="297"/>
      <c r="AI2" s="297"/>
      <c r="AJ2" s="297"/>
      <c r="AK2" s="297"/>
      <c r="AL2" s="297"/>
      <c r="AM2" s="297"/>
      <c r="AN2" s="297"/>
      <c r="AO2" s="297"/>
      <c r="AP2" s="297"/>
      <c r="AQ2" s="297"/>
      <c r="AR2" s="297"/>
      <c r="AS2" s="297"/>
      <c r="AT2" s="297"/>
      <c r="AU2" s="297"/>
      <c r="AV2" s="297"/>
      <c r="AW2" s="297"/>
      <c r="AX2" s="297"/>
      <c r="AY2" s="297"/>
      <c r="AZ2" s="297"/>
      <c r="BA2" s="297"/>
      <c r="BB2" s="297"/>
      <c r="BC2" s="297"/>
      <c r="BD2" s="297"/>
      <c r="BE2" s="297"/>
      <c r="BF2" s="297"/>
      <c r="BG2" s="297"/>
      <c r="BH2" s="297"/>
      <c r="BI2" s="297"/>
    </row>
    <row r="3" spans="6:88" ht="8.25" customHeight="1" x14ac:dyDescent="0.25">
      <c r="G3" s="181"/>
      <c r="H3" s="182"/>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78"/>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row>
    <row r="4" spans="6:88" ht="6.95" customHeight="1" x14ac:dyDescent="0.25">
      <c r="F4" s="176"/>
      <c r="H4" s="183"/>
      <c r="I4" s="184"/>
      <c r="J4" s="184"/>
      <c r="K4" s="184"/>
      <c r="L4" s="184"/>
      <c r="M4" s="184"/>
      <c r="N4" s="184"/>
      <c r="O4" s="184"/>
      <c r="P4" s="184"/>
      <c r="Q4" s="184"/>
      <c r="R4" s="184"/>
      <c r="S4" s="184"/>
      <c r="T4" s="184"/>
      <c r="U4" s="184"/>
      <c r="V4" s="184"/>
      <c r="W4" s="184"/>
      <c r="X4" s="184"/>
      <c r="Y4" s="184"/>
      <c r="Z4" s="184"/>
      <c r="AA4" s="184"/>
      <c r="AB4" s="184"/>
      <c r="AC4" s="184"/>
      <c r="AD4" s="184"/>
      <c r="AE4" s="184"/>
      <c r="AF4" s="184"/>
      <c r="AG4" s="185"/>
      <c r="AH4" s="286"/>
      <c r="AI4" s="200"/>
      <c r="AJ4" s="184"/>
      <c r="AK4" s="184"/>
      <c r="AL4" s="184"/>
      <c r="AM4" s="184"/>
      <c r="AN4" s="184"/>
      <c r="AO4" s="184"/>
      <c r="AP4" s="184"/>
      <c r="AQ4" s="184"/>
      <c r="AR4" s="184"/>
      <c r="AS4" s="184"/>
      <c r="AT4" s="184"/>
      <c r="AU4" s="184"/>
      <c r="AV4" s="184"/>
      <c r="AW4" s="184"/>
      <c r="AX4" s="184"/>
      <c r="AY4" s="184"/>
      <c r="AZ4" s="184"/>
      <c r="BA4" s="184"/>
      <c r="BB4" s="184"/>
      <c r="BC4" s="184"/>
      <c r="BD4" s="184"/>
      <c r="BE4" s="184"/>
      <c r="BF4" s="184"/>
      <c r="BI4" s="185"/>
    </row>
    <row r="5" spans="6:88" ht="11.25" x14ac:dyDescent="0.25">
      <c r="F5" s="176"/>
      <c r="G5" s="287" t="s">
        <v>89</v>
      </c>
      <c r="H5" s="288"/>
      <c r="I5" s="288"/>
      <c r="J5" s="288"/>
      <c r="K5" s="288"/>
      <c r="L5" s="288"/>
      <c r="M5" s="288"/>
      <c r="N5" s="288"/>
      <c r="O5" s="288"/>
      <c r="P5" s="288"/>
      <c r="Q5" s="288"/>
      <c r="R5" s="288"/>
      <c r="S5" s="288"/>
      <c r="T5" s="288"/>
      <c r="U5" s="288"/>
      <c r="V5" s="288"/>
      <c r="W5" s="288"/>
      <c r="X5" s="288"/>
      <c r="Y5" s="288"/>
      <c r="Z5" s="288"/>
      <c r="AA5" s="288"/>
      <c r="AB5" s="288"/>
      <c r="AC5" s="288"/>
      <c r="AD5" s="288"/>
      <c r="AE5" s="288"/>
      <c r="AF5" s="288"/>
      <c r="AG5" s="289"/>
      <c r="AH5" s="286"/>
      <c r="AI5" s="287" t="s">
        <v>141</v>
      </c>
      <c r="AJ5" s="288"/>
      <c r="AK5" s="288"/>
      <c r="AL5" s="288"/>
      <c r="AM5" s="288"/>
      <c r="AN5" s="288"/>
      <c r="AO5" s="288"/>
      <c r="AP5" s="288"/>
      <c r="AQ5" s="288"/>
      <c r="AR5" s="288"/>
      <c r="AS5" s="288"/>
      <c r="AT5" s="288"/>
      <c r="AU5" s="288"/>
      <c r="AV5" s="288"/>
      <c r="AW5" s="288"/>
      <c r="AX5" s="288"/>
      <c r="AY5" s="288"/>
      <c r="AZ5" s="288"/>
      <c r="BA5" s="288"/>
      <c r="BB5" s="288"/>
      <c r="BC5" s="288"/>
      <c r="BD5" s="288"/>
      <c r="BE5" s="288"/>
      <c r="BF5" s="288"/>
      <c r="BG5" s="288"/>
      <c r="BH5" s="288"/>
      <c r="BI5" s="289"/>
      <c r="BJ5" s="178"/>
      <c r="BK5" s="178"/>
    </row>
    <row r="6" spans="6:88" ht="11.25" x14ac:dyDescent="0.25">
      <c r="F6" s="176"/>
      <c r="G6" s="269" t="str">
        <f ca="1">IFERROR("CNPJ: "&amp;VLOOKUP(RPA_Tomador,TomadoresTudo,2,FALSE),"")</f>
        <v/>
      </c>
      <c r="H6" s="270"/>
      <c r="I6" s="270"/>
      <c r="J6" s="270"/>
      <c r="K6" s="270"/>
      <c r="L6" s="270"/>
      <c r="M6" s="270"/>
      <c r="N6" s="270"/>
      <c r="O6" s="270"/>
      <c r="P6" s="270"/>
      <c r="Q6" s="270"/>
      <c r="R6" s="270"/>
      <c r="S6" s="270"/>
      <c r="T6" s="270"/>
      <c r="U6" s="270"/>
      <c r="V6" s="270"/>
      <c r="W6" s="270"/>
      <c r="X6" s="270"/>
      <c r="Y6" s="270"/>
      <c r="Z6" s="270"/>
      <c r="AA6" s="270"/>
      <c r="AB6" s="270"/>
      <c r="AC6" s="270"/>
      <c r="AD6" s="270"/>
      <c r="AE6" s="270"/>
      <c r="AF6" s="270"/>
      <c r="AG6" s="290"/>
      <c r="AH6" s="286"/>
      <c r="AI6" s="298" t="str">
        <f ca="1">IFERROR("CPF: "&amp;VLOOKUP(RPA_Prestador,PrestadoresTudo,2,FALSE),"")</f>
        <v/>
      </c>
      <c r="AJ6" s="265"/>
      <c r="AK6" s="265"/>
      <c r="AL6" s="265"/>
      <c r="AM6" s="265"/>
      <c r="AN6" s="265"/>
      <c r="AO6" s="265"/>
      <c r="AP6" s="265"/>
      <c r="AQ6" s="265" t="str">
        <f ca="1">IFERROR("INSS nº: "&amp;VLOOKUP(RPA_Prestador,PrestadoresTudo,3,FALSE),"")</f>
        <v/>
      </c>
      <c r="AR6" s="265"/>
      <c r="AS6" s="265"/>
      <c r="AT6" s="265"/>
      <c r="AU6" s="265"/>
      <c r="AV6" s="265"/>
      <c r="AW6" s="265"/>
      <c r="AX6" s="265"/>
      <c r="AY6" s="265"/>
      <c r="AZ6" s="265" t="str">
        <f ca="1">IFERROR("PIS/PASEP nº: "&amp;VLOOKUP(RPA_Prestador,PrestadoresTudo,4,FALSE),"")</f>
        <v/>
      </c>
      <c r="BA6" s="265"/>
      <c r="BB6" s="265"/>
      <c r="BC6" s="265"/>
      <c r="BD6" s="265"/>
      <c r="BE6" s="265"/>
      <c r="BF6" s="265"/>
      <c r="BG6" s="265"/>
      <c r="BH6" s="265"/>
      <c r="BI6" s="266"/>
      <c r="BJ6" s="178"/>
      <c r="BK6" s="178"/>
    </row>
    <row r="7" spans="6:88" ht="3" customHeight="1" x14ac:dyDescent="0.25">
      <c r="F7" s="176"/>
      <c r="G7" s="181"/>
      <c r="H7" s="196"/>
      <c r="I7" s="196"/>
      <c r="J7" s="196"/>
      <c r="K7" s="196"/>
      <c r="L7" s="196"/>
      <c r="M7" s="196"/>
      <c r="N7" s="196"/>
      <c r="O7" s="196"/>
      <c r="P7" s="196"/>
      <c r="Q7" s="196"/>
      <c r="R7" s="196"/>
      <c r="S7" s="196"/>
      <c r="T7" s="196"/>
      <c r="U7" s="196"/>
      <c r="V7" s="196"/>
      <c r="W7" s="196"/>
      <c r="X7" s="196"/>
      <c r="Y7" s="196"/>
      <c r="Z7" s="196"/>
      <c r="AA7" s="196"/>
      <c r="AB7" s="196"/>
      <c r="AC7" s="196"/>
      <c r="AD7" s="196"/>
      <c r="AE7" s="196"/>
      <c r="AF7" s="196"/>
      <c r="AG7" s="197"/>
      <c r="AH7" s="286"/>
      <c r="AI7" s="201"/>
      <c r="AJ7" s="196"/>
      <c r="AK7" s="196"/>
      <c r="AL7" s="196"/>
      <c r="AM7" s="196"/>
      <c r="AN7" s="196"/>
      <c r="AO7" s="196"/>
      <c r="AP7" s="196"/>
      <c r="AQ7" s="196"/>
      <c r="AR7" s="196"/>
      <c r="AS7" s="196"/>
      <c r="AT7" s="196"/>
      <c r="AU7" s="196"/>
      <c r="AV7" s="196"/>
      <c r="AW7" s="196"/>
      <c r="AX7" s="196"/>
      <c r="AY7" s="196"/>
      <c r="AZ7" s="267"/>
      <c r="BA7" s="267"/>
      <c r="BB7" s="267"/>
      <c r="BC7" s="267"/>
      <c r="BD7" s="267"/>
      <c r="BE7" s="267"/>
      <c r="BF7" s="267"/>
      <c r="BG7" s="267"/>
      <c r="BH7" s="267"/>
      <c r="BI7" s="268"/>
      <c r="BJ7" s="178"/>
      <c r="BK7" s="178"/>
    </row>
    <row r="8" spans="6:88" ht="9.9499999999999993" customHeight="1" x14ac:dyDescent="0.25">
      <c r="G8" s="181"/>
      <c r="H8" s="181"/>
      <c r="I8" s="181"/>
      <c r="J8" s="181"/>
      <c r="K8" s="181"/>
      <c r="L8" s="181"/>
      <c r="M8" s="181"/>
      <c r="N8" s="181"/>
      <c r="O8" s="181"/>
      <c r="P8" s="181"/>
      <c r="Q8" s="181"/>
      <c r="R8" s="181"/>
      <c r="S8" s="181"/>
      <c r="T8" s="181"/>
      <c r="U8" s="181"/>
      <c r="V8" s="181"/>
      <c r="W8" s="181"/>
      <c r="X8" s="181"/>
      <c r="Y8" s="181"/>
      <c r="Z8" s="181"/>
      <c r="AA8" s="181"/>
      <c r="AB8" s="181"/>
      <c r="AC8" s="181"/>
      <c r="AD8" s="181"/>
      <c r="AE8" s="181"/>
      <c r="AF8" s="181"/>
      <c r="AG8" s="181"/>
      <c r="AH8" s="181"/>
      <c r="AI8" s="181"/>
      <c r="AJ8" s="181"/>
      <c r="AK8" s="181"/>
      <c r="AL8" s="181"/>
      <c r="AM8" s="181"/>
      <c r="AN8" s="181"/>
      <c r="AO8" s="181"/>
      <c r="AP8" s="181"/>
      <c r="AQ8" s="181"/>
      <c r="AR8" s="181"/>
      <c r="AS8" s="181"/>
      <c r="AT8" s="181"/>
      <c r="AU8" s="181"/>
      <c r="AV8" s="181"/>
      <c r="AW8" s="181"/>
      <c r="AX8" s="181"/>
      <c r="AY8" s="181"/>
      <c r="AZ8" s="181"/>
      <c r="BA8" s="181"/>
      <c r="BB8" s="181"/>
      <c r="BC8" s="181"/>
      <c r="BD8" s="181"/>
      <c r="BE8" s="181"/>
      <c r="BF8" s="181"/>
      <c r="BG8" s="181"/>
      <c r="BH8" s="181"/>
      <c r="BI8" s="181"/>
      <c r="BJ8" s="178"/>
      <c r="BK8" s="178"/>
      <c r="BL8" s="179"/>
      <c r="BM8" s="179"/>
      <c r="BN8" s="179"/>
      <c r="BO8" s="179"/>
      <c r="BP8" s="179"/>
      <c r="BQ8" s="179"/>
      <c r="BR8" s="179"/>
      <c r="BS8" s="179"/>
      <c r="BT8" s="179"/>
      <c r="BU8" s="179"/>
      <c r="BV8" s="179"/>
      <c r="BW8" s="179"/>
      <c r="BX8" s="179"/>
      <c r="BY8" s="179"/>
      <c r="BZ8" s="179"/>
      <c r="CA8" s="179"/>
      <c r="CB8" s="179"/>
      <c r="CC8" s="179"/>
      <c r="CD8" s="179"/>
      <c r="CE8" s="179"/>
      <c r="CF8" s="179"/>
      <c r="CG8" s="179"/>
      <c r="CH8" s="179"/>
      <c r="CI8" s="179"/>
      <c r="CJ8" s="179"/>
    </row>
    <row r="9" spans="6:88" ht="5.0999999999999996" customHeight="1" x14ac:dyDescent="0.25">
      <c r="F9" s="176"/>
      <c r="H9" s="177"/>
      <c r="BI9" s="185"/>
      <c r="BJ9" s="178"/>
      <c r="BK9" s="178"/>
      <c r="BL9" s="179"/>
      <c r="BM9" s="179"/>
      <c r="BN9" s="179"/>
      <c r="BO9" s="179"/>
      <c r="BP9" s="179"/>
      <c r="BQ9" s="179"/>
      <c r="BR9" s="179"/>
      <c r="BS9" s="179"/>
      <c r="BT9" s="179"/>
      <c r="BU9" s="179"/>
      <c r="BV9" s="179"/>
      <c r="BW9" s="179"/>
      <c r="BX9" s="179"/>
      <c r="BY9" s="179"/>
      <c r="BZ9" s="179"/>
      <c r="CA9" s="179"/>
      <c r="CB9" s="179"/>
      <c r="CC9" s="179"/>
      <c r="CD9" s="179"/>
      <c r="CE9" s="179"/>
      <c r="CF9" s="179"/>
      <c r="CG9" s="179"/>
      <c r="CH9" s="179"/>
      <c r="CI9" s="179"/>
      <c r="CJ9" s="179"/>
    </row>
    <row r="10" spans="6:88" ht="9.9499999999999993" customHeight="1" x14ac:dyDescent="0.25">
      <c r="F10" s="176"/>
      <c r="H10" s="291" t="s">
        <v>143</v>
      </c>
      <c r="I10" s="291"/>
      <c r="J10" s="291"/>
      <c r="K10" s="291"/>
      <c r="L10" s="291"/>
      <c r="M10" s="291"/>
      <c r="N10" s="291"/>
      <c r="O10" s="291"/>
      <c r="P10" s="291"/>
      <c r="Q10" s="291"/>
      <c r="R10" s="291"/>
      <c r="S10" s="291"/>
      <c r="T10" s="291"/>
      <c r="U10" s="291"/>
      <c r="V10" s="291"/>
      <c r="W10" s="291"/>
      <c r="X10" s="291"/>
      <c r="Y10" s="291"/>
      <c r="Z10" s="291"/>
      <c r="AA10" s="291"/>
      <c r="AB10" s="291"/>
      <c r="AC10" s="291"/>
      <c r="AD10" s="291"/>
      <c r="AE10" s="291"/>
      <c r="AF10" s="291"/>
      <c r="AG10" s="291"/>
      <c r="AH10" s="291"/>
      <c r="AI10" s="291"/>
      <c r="AJ10" s="291"/>
      <c r="AK10" s="291"/>
      <c r="AL10" s="291"/>
      <c r="AM10" s="291"/>
      <c r="AN10" s="291"/>
      <c r="AO10" s="291"/>
      <c r="AP10" s="291"/>
      <c r="AQ10" s="291"/>
      <c r="AR10" s="291"/>
      <c r="AS10" s="291"/>
      <c r="AT10" s="291"/>
      <c r="AU10" s="291"/>
      <c r="AV10" s="291"/>
      <c r="AW10" s="291"/>
      <c r="AX10" s="291"/>
      <c r="AY10" s="291"/>
      <c r="AZ10" s="291"/>
      <c r="BA10" s="291"/>
      <c r="BB10" s="291"/>
      <c r="BC10" s="291"/>
      <c r="BD10" s="291"/>
      <c r="BE10" s="291"/>
      <c r="BF10" s="291"/>
      <c r="BG10" s="291"/>
      <c r="BH10" s="291"/>
      <c r="BI10" s="176"/>
      <c r="BJ10" s="178"/>
      <c r="BK10" s="178"/>
      <c r="BL10" s="179"/>
      <c r="BM10" s="179"/>
      <c r="BN10" s="179"/>
      <c r="BO10" s="179"/>
      <c r="BP10" s="179"/>
      <c r="BQ10" s="179"/>
      <c r="BR10" s="179"/>
      <c r="BS10" s="179"/>
      <c r="BT10" s="179"/>
      <c r="BU10" s="179"/>
      <c r="BV10" s="179"/>
      <c r="BW10" s="179"/>
      <c r="BX10" s="179"/>
      <c r="BY10" s="179"/>
      <c r="BZ10" s="179"/>
      <c r="CA10" s="179"/>
      <c r="CB10" s="179"/>
      <c r="CC10" s="179"/>
      <c r="CD10" s="179"/>
      <c r="CE10" s="179"/>
      <c r="CF10" s="179"/>
      <c r="CG10" s="179"/>
      <c r="CH10" s="179"/>
      <c r="CI10" s="179"/>
      <c r="CJ10" s="179"/>
    </row>
    <row r="11" spans="6:88" ht="9.9499999999999993" customHeight="1" x14ac:dyDescent="0.25">
      <c r="F11" s="176"/>
      <c r="H11" s="291"/>
      <c r="I11" s="291"/>
      <c r="J11" s="291"/>
      <c r="K11" s="291"/>
      <c r="L11" s="291"/>
      <c r="M11" s="291"/>
      <c r="N11" s="291"/>
      <c r="O11" s="291"/>
      <c r="P11" s="291"/>
      <c r="Q11" s="291"/>
      <c r="R11" s="291"/>
      <c r="S11" s="291"/>
      <c r="T11" s="291"/>
      <c r="U11" s="291"/>
      <c r="V11" s="291"/>
      <c r="W11" s="291"/>
      <c r="X11" s="291"/>
      <c r="Y11" s="291"/>
      <c r="Z11" s="291"/>
      <c r="AA11" s="291"/>
      <c r="AB11" s="291"/>
      <c r="AC11" s="291"/>
      <c r="AD11" s="291"/>
      <c r="AE11" s="291"/>
      <c r="AF11" s="291"/>
      <c r="AG11" s="291"/>
      <c r="AH11" s="291"/>
      <c r="AI11" s="291"/>
      <c r="AJ11" s="291"/>
      <c r="AK11" s="291"/>
      <c r="AL11" s="291"/>
      <c r="AM11" s="291"/>
      <c r="AN11" s="291"/>
      <c r="AO11" s="291"/>
      <c r="AP11" s="291"/>
      <c r="AQ11" s="291"/>
      <c r="AR11" s="291"/>
      <c r="AS11" s="291"/>
      <c r="AT11" s="291"/>
      <c r="AU11" s="291"/>
      <c r="AV11" s="291"/>
      <c r="AW11" s="291"/>
      <c r="AX11" s="291"/>
      <c r="AY11" s="291"/>
      <c r="AZ11" s="291"/>
      <c r="BA11" s="291"/>
      <c r="BB11" s="291"/>
      <c r="BC11" s="291"/>
      <c r="BD11" s="291"/>
      <c r="BE11" s="291"/>
      <c r="BF11" s="291"/>
      <c r="BG11" s="291"/>
      <c r="BH11" s="291"/>
      <c r="BI11" s="176"/>
      <c r="BJ11" s="178"/>
      <c r="BK11" s="178"/>
      <c r="BL11" s="179"/>
      <c r="BM11" s="179"/>
      <c r="BN11" s="179"/>
      <c r="BO11" s="179"/>
      <c r="BP11" s="179"/>
      <c r="BQ11" s="179"/>
      <c r="BR11" s="179"/>
      <c r="BS11" s="179"/>
      <c r="BT11" s="179"/>
      <c r="BU11" s="179"/>
      <c r="BV11" s="179"/>
      <c r="BW11" s="179"/>
      <c r="BX11" s="179"/>
      <c r="BY11" s="179"/>
      <c r="BZ11" s="179"/>
      <c r="CA11" s="179"/>
      <c r="CB11" s="179"/>
      <c r="CC11" s="179"/>
      <c r="CD11" s="179"/>
      <c r="CE11" s="179"/>
      <c r="CF11" s="179"/>
      <c r="CG11" s="179"/>
      <c r="CH11" s="179"/>
      <c r="CI11" s="179"/>
      <c r="CJ11" s="179"/>
    </row>
    <row r="12" spans="6:88" ht="3" customHeight="1" x14ac:dyDescent="0.25">
      <c r="F12" s="176"/>
      <c r="G12" s="181"/>
      <c r="H12" s="181"/>
      <c r="I12" s="181"/>
      <c r="J12" s="181"/>
      <c r="K12" s="181"/>
      <c r="L12" s="181"/>
      <c r="M12" s="181"/>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6"/>
      <c r="BJ12" s="178"/>
      <c r="BK12" s="178"/>
      <c r="BL12" s="179"/>
      <c r="BM12" s="179"/>
      <c r="BN12" s="179"/>
      <c r="BO12" s="179"/>
      <c r="BP12" s="179"/>
      <c r="BQ12" s="179"/>
      <c r="BR12" s="179"/>
      <c r="BS12" s="179"/>
      <c r="BT12" s="179"/>
      <c r="BU12" s="179"/>
      <c r="BV12" s="179"/>
      <c r="BW12" s="179"/>
      <c r="BX12" s="179"/>
      <c r="BY12" s="179"/>
      <c r="BZ12" s="179"/>
      <c r="CA12" s="179"/>
      <c r="CB12" s="179"/>
      <c r="CC12" s="179"/>
      <c r="CD12" s="179"/>
      <c r="CE12" s="179"/>
      <c r="CF12" s="179"/>
      <c r="CG12" s="179"/>
      <c r="CH12" s="179"/>
      <c r="CI12" s="179"/>
      <c r="CJ12" s="179"/>
    </row>
    <row r="13" spans="6:88" ht="9.9499999999999993" customHeight="1" x14ac:dyDescent="0.25">
      <c r="G13" s="181"/>
      <c r="H13" s="181"/>
      <c r="I13" s="181"/>
      <c r="J13" s="181"/>
      <c r="K13" s="181"/>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78"/>
      <c r="BK13" s="178"/>
      <c r="BL13" s="179"/>
      <c r="BM13" s="179"/>
      <c r="BN13" s="179"/>
      <c r="BO13" s="179"/>
      <c r="BP13" s="179"/>
      <c r="BQ13" s="179"/>
      <c r="BR13" s="179"/>
      <c r="BS13" s="179"/>
      <c r="BT13" s="179"/>
      <c r="BU13" s="179"/>
      <c r="BV13" s="179"/>
      <c r="BW13" s="179"/>
      <c r="BX13" s="179"/>
      <c r="BY13" s="179"/>
      <c r="BZ13" s="179"/>
      <c r="CA13" s="179"/>
      <c r="CB13" s="179"/>
      <c r="CC13" s="179"/>
      <c r="CD13" s="179"/>
      <c r="CE13" s="179"/>
      <c r="CF13" s="179"/>
      <c r="CG13" s="179"/>
      <c r="CH13" s="179"/>
      <c r="CI13" s="179"/>
      <c r="CJ13" s="179"/>
    </row>
    <row r="14" spans="6:88" ht="8.25" customHeight="1" x14ac:dyDescent="0.25">
      <c r="F14" s="176"/>
      <c r="H14" s="177"/>
      <c r="BI14" s="185"/>
      <c r="BJ14" s="178"/>
      <c r="BK14" s="178"/>
      <c r="BL14" s="179"/>
      <c r="BM14" s="179"/>
      <c r="BN14" s="179"/>
      <c r="BO14" s="179"/>
      <c r="BP14" s="179"/>
      <c r="BQ14" s="179"/>
      <c r="BR14" s="179"/>
      <c r="BS14" s="179"/>
      <c r="BT14" s="179"/>
      <c r="BU14" s="179"/>
      <c r="BV14" s="179"/>
      <c r="BW14" s="179"/>
      <c r="BX14" s="179"/>
      <c r="BY14" s="179"/>
      <c r="BZ14" s="179"/>
      <c r="CA14" s="179"/>
      <c r="CB14" s="179"/>
      <c r="CC14" s="179"/>
      <c r="CD14" s="179"/>
      <c r="CE14" s="179"/>
      <c r="CF14" s="179"/>
      <c r="CG14" s="179"/>
      <c r="CH14" s="179"/>
      <c r="CI14" s="179"/>
      <c r="CJ14" s="179"/>
    </row>
    <row r="15" spans="6:88" ht="6.95" customHeight="1" x14ac:dyDescent="0.25">
      <c r="F15" s="176"/>
      <c r="H15" s="272" t="s">
        <v>74</v>
      </c>
      <c r="I15" s="272"/>
      <c r="J15" s="272"/>
      <c r="K15" s="272"/>
      <c r="L15" s="272"/>
      <c r="M15" s="272"/>
      <c r="N15" s="272"/>
      <c r="O15" s="272"/>
      <c r="P15" s="272"/>
      <c r="Q15" s="272"/>
      <c r="R15" s="272"/>
      <c r="S15" s="272"/>
      <c r="T15" s="272"/>
      <c r="U15" s="272"/>
      <c r="V15" s="272"/>
      <c r="W15" s="272"/>
      <c r="X15" s="272"/>
      <c r="Y15" s="272"/>
      <c r="Z15" s="272"/>
      <c r="AA15" s="272"/>
      <c r="AB15" s="272"/>
      <c r="AC15" s="272"/>
      <c r="AD15" s="272"/>
      <c r="AE15" s="272"/>
      <c r="AF15" s="272"/>
      <c r="AG15" s="272"/>
      <c r="AH15" s="272"/>
      <c r="AI15" s="272"/>
      <c r="AJ15" s="272"/>
      <c r="AK15" s="272"/>
      <c r="AL15" s="272"/>
      <c r="AM15" s="272"/>
      <c r="AN15" s="272"/>
      <c r="AO15" s="272"/>
      <c r="AP15" s="272"/>
      <c r="AQ15" s="272"/>
      <c r="AR15" s="272"/>
      <c r="AS15" s="272"/>
      <c r="AT15" s="272"/>
      <c r="AU15" s="272"/>
      <c r="AV15" s="272"/>
      <c r="AW15" s="272"/>
      <c r="AX15" s="272"/>
      <c r="AZ15" s="276" t="s">
        <v>142</v>
      </c>
      <c r="BA15" s="276"/>
      <c r="BB15" s="276"/>
      <c r="BC15" s="276"/>
      <c r="BD15" s="276"/>
      <c r="BE15" s="276"/>
      <c r="BF15" s="276"/>
      <c r="BG15" s="276"/>
      <c r="BH15" s="276"/>
      <c r="BI15" s="176"/>
      <c r="BJ15" s="178"/>
      <c r="BK15" s="178"/>
      <c r="BL15" s="179"/>
      <c r="BM15" s="179"/>
      <c r="BN15" s="179"/>
      <c r="BO15" s="179"/>
      <c r="BP15" s="179"/>
      <c r="BQ15" s="179"/>
      <c r="BR15" s="179"/>
      <c r="BS15" s="179"/>
      <c r="BT15" s="179"/>
      <c r="BU15" s="179"/>
      <c r="BV15" s="179"/>
      <c r="BW15" s="179"/>
      <c r="BX15" s="179"/>
      <c r="BY15" s="179"/>
      <c r="BZ15" s="179"/>
      <c r="CA15" s="179"/>
      <c r="CB15" s="179"/>
      <c r="CC15" s="179"/>
      <c r="CD15" s="179"/>
      <c r="CE15" s="179"/>
      <c r="CF15" s="179"/>
      <c r="CG15" s="179"/>
      <c r="CH15" s="179"/>
      <c r="CI15" s="179"/>
      <c r="CJ15" s="179"/>
    </row>
    <row r="16" spans="6:88" ht="6.95" customHeight="1" x14ac:dyDescent="0.25">
      <c r="F16" s="176"/>
      <c r="H16" s="273"/>
      <c r="I16" s="273"/>
      <c r="J16" s="273"/>
      <c r="K16" s="273"/>
      <c r="L16" s="273"/>
      <c r="M16" s="273"/>
      <c r="N16" s="273"/>
      <c r="O16" s="273"/>
      <c r="P16" s="273"/>
      <c r="Q16" s="273"/>
      <c r="R16" s="273"/>
      <c r="S16" s="273"/>
      <c r="T16" s="273"/>
      <c r="U16" s="273"/>
      <c r="V16" s="273"/>
      <c r="W16" s="273"/>
      <c r="X16" s="273"/>
      <c r="Y16" s="273"/>
      <c r="Z16" s="273"/>
      <c r="AA16" s="273"/>
      <c r="AB16" s="273"/>
      <c r="AC16" s="273"/>
      <c r="AD16" s="273"/>
      <c r="AE16" s="273"/>
      <c r="AF16" s="273"/>
      <c r="AG16" s="273"/>
      <c r="AH16" s="273"/>
      <c r="AI16" s="273"/>
      <c r="AJ16" s="273"/>
      <c r="AK16" s="273"/>
      <c r="AL16" s="273"/>
      <c r="AM16" s="273"/>
      <c r="AN16" s="273"/>
      <c r="AO16" s="273"/>
      <c r="AP16" s="273"/>
      <c r="AQ16" s="273"/>
      <c r="AR16" s="273"/>
      <c r="AS16" s="273"/>
      <c r="AT16" s="273"/>
      <c r="AU16" s="273"/>
      <c r="AV16" s="273"/>
      <c r="AW16" s="273"/>
      <c r="AX16" s="273"/>
      <c r="AZ16" s="277"/>
      <c r="BA16" s="277"/>
      <c r="BB16" s="277"/>
      <c r="BC16" s="277"/>
      <c r="BD16" s="277"/>
      <c r="BE16" s="277"/>
      <c r="BF16" s="277"/>
      <c r="BG16" s="277"/>
      <c r="BH16" s="277"/>
      <c r="BI16" s="176"/>
      <c r="BJ16" s="178"/>
      <c r="BK16" s="178"/>
      <c r="BL16" s="271"/>
      <c r="BM16" s="271"/>
      <c r="BN16" s="271"/>
      <c r="BO16" s="271"/>
      <c r="BP16" s="271"/>
      <c r="BQ16" s="271"/>
      <c r="BR16" s="271"/>
      <c r="BS16" s="271"/>
      <c r="BT16" s="271"/>
      <c r="BU16" s="271"/>
      <c r="BV16" s="271"/>
      <c r="BW16" s="271"/>
      <c r="BX16" s="271"/>
      <c r="BY16" s="271"/>
      <c r="BZ16" s="271"/>
      <c r="CA16" s="271"/>
      <c r="CB16" s="271"/>
      <c r="CC16" s="271"/>
      <c r="CD16" s="271"/>
      <c r="CE16" s="271"/>
      <c r="CF16" s="271"/>
      <c r="CG16" s="271"/>
      <c r="CH16" s="271"/>
      <c r="CI16" s="271"/>
      <c r="CJ16" s="271"/>
    </row>
    <row r="17" spans="6:88" ht="6.95" customHeight="1" x14ac:dyDescent="0.25">
      <c r="F17" s="176"/>
      <c r="H17" s="272" t="s">
        <v>50</v>
      </c>
      <c r="I17" s="272"/>
      <c r="J17" s="272"/>
      <c r="K17" s="272"/>
      <c r="L17" s="272"/>
      <c r="M17" s="272"/>
      <c r="N17" s="272"/>
      <c r="O17" s="272"/>
      <c r="P17" s="272"/>
      <c r="Q17" s="272"/>
      <c r="R17" s="272"/>
      <c r="S17" s="272"/>
      <c r="T17" s="272"/>
      <c r="U17" s="272"/>
      <c r="V17" s="272"/>
      <c r="W17" s="272"/>
      <c r="X17" s="272"/>
      <c r="Y17" s="272"/>
      <c r="Z17" s="272"/>
      <c r="AA17" s="272"/>
      <c r="AB17" s="272"/>
      <c r="AC17" s="272"/>
      <c r="AD17" s="272"/>
      <c r="AE17" s="272"/>
      <c r="AF17" s="272"/>
      <c r="AG17" s="272"/>
      <c r="AH17" s="272"/>
      <c r="AI17" s="272"/>
      <c r="AJ17" s="272"/>
      <c r="AK17" s="272"/>
      <c r="AL17" s="272"/>
      <c r="AM17" s="272"/>
      <c r="AN17" s="272"/>
      <c r="AO17" s="272"/>
      <c r="AP17" s="272"/>
      <c r="AQ17" s="272"/>
      <c r="AR17" s="272"/>
      <c r="AS17" s="272"/>
      <c r="AT17" s="272"/>
      <c r="AU17" s="272"/>
      <c r="AV17" s="272"/>
      <c r="AW17" s="272"/>
      <c r="AX17" s="272"/>
      <c r="AZ17" s="278">
        <v>0</v>
      </c>
      <c r="BA17" s="278"/>
      <c r="BB17" s="278"/>
      <c r="BC17" s="278"/>
      <c r="BD17" s="278"/>
      <c r="BE17" s="278"/>
      <c r="BF17" s="278"/>
      <c r="BG17" s="278"/>
      <c r="BH17" s="278"/>
      <c r="BI17" s="176"/>
      <c r="BJ17" s="178"/>
      <c r="BK17" s="178"/>
      <c r="BL17" s="179"/>
      <c r="BM17" s="179"/>
      <c r="BN17" s="179"/>
      <c r="BO17" s="179"/>
      <c r="BP17" s="179"/>
      <c r="BQ17" s="179"/>
      <c r="BR17" s="179"/>
      <c r="BS17" s="179"/>
      <c r="BT17" s="179"/>
      <c r="BU17" s="179"/>
      <c r="BV17" s="179"/>
      <c r="BW17" s="179"/>
      <c r="BX17" s="179"/>
      <c r="BY17" s="179"/>
      <c r="BZ17" s="179"/>
      <c r="CA17" s="179"/>
      <c r="CB17" s="179"/>
      <c r="CC17" s="179"/>
      <c r="CD17" s="179"/>
      <c r="CE17" s="179"/>
      <c r="CF17" s="179"/>
      <c r="CG17" s="179"/>
      <c r="CH17" s="179"/>
      <c r="CI17" s="179"/>
      <c r="CJ17" s="179"/>
    </row>
    <row r="18" spans="6:88" ht="6.95" customHeight="1" x14ac:dyDescent="0.25">
      <c r="F18" s="176"/>
      <c r="H18" s="273"/>
      <c r="I18" s="273"/>
      <c r="J18" s="273"/>
      <c r="K18" s="273"/>
      <c r="L18" s="273"/>
      <c r="M18" s="273"/>
      <c r="N18" s="273"/>
      <c r="O18" s="273"/>
      <c r="P18" s="273"/>
      <c r="Q18" s="273"/>
      <c r="R18" s="273"/>
      <c r="S18" s="273"/>
      <c r="T18" s="273"/>
      <c r="U18" s="273"/>
      <c r="V18" s="273"/>
      <c r="W18" s="273"/>
      <c r="X18" s="273"/>
      <c r="Y18" s="273"/>
      <c r="Z18" s="273"/>
      <c r="AA18" s="273"/>
      <c r="AB18" s="273"/>
      <c r="AC18" s="273"/>
      <c r="AD18" s="273"/>
      <c r="AE18" s="273"/>
      <c r="AF18" s="273"/>
      <c r="AG18" s="273"/>
      <c r="AH18" s="273"/>
      <c r="AI18" s="273"/>
      <c r="AJ18" s="273"/>
      <c r="AK18" s="273"/>
      <c r="AL18" s="273"/>
      <c r="AM18" s="273"/>
      <c r="AN18" s="273"/>
      <c r="AO18" s="273"/>
      <c r="AP18" s="273"/>
      <c r="AQ18" s="273"/>
      <c r="AR18" s="273"/>
      <c r="AS18" s="273"/>
      <c r="AT18" s="273"/>
      <c r="AU18" s="273"/>
      <c r="AV18" s="273"/>
      <c r="AW18" s="273"/>
      <c r="AX18" s="273"/>
      <c r="AZ18" s="279"/>
      <c r="BA18" s="279"/>
      <c r="BB18" s="279"/>
      <c r="BC18" s="279"/>
      <c r="BD18" s="279"/>
      <c r="BE18" s="279"/>
      <c r="BF18" s="279"/>
      <c r="BG18" s="279"/>
      <c r="BH18" s="279"/>
      <c r="BI18" s="176"/>
      <c r="BJ18" s="178"/>
      <c r="BK18" s="178"/>
      <c r="BL18" s="179"/>
      <c r="BM18" s="179"/>
      <c r="BN18" s="179"/>
      <c r="BO18" s="179"/>
      <c r="BP18" s="179"/>
      <c r="BQ18" s="179"/>
      <c r="BR18" s="179"/>
      <c r="BS18" s="179"/>
      <c r="BT18" s="179"/>
      <c r="BU18" s="179"/>
      <c r="BV18" s="179"/>
      <c r="BW18" s="179"/>
      <c r="BX18" s="179"/>
      <c r="BY18" s="179"/>
      <c r="BZ18" s="179"/>
      <c r="CA18" s="179"/>
      <c r="CB18" s="179"/>
      <c r="CC18" s="179"/>
      <c r="CD18" s="179"/>
      <c r="CE18" s="179"/>
      <c r="CF18" s="179"/>
      <c r="CG18" s="179"/>
      <c r="CH18" s="179"/>
      <c r="CI18" s="179"/>
      <c r="CJ18" s="179"/>
    </row>
    <row r="19" spans="6:88" ht="6.95" customHeight="1" x14ac:dyDescent="0.25">
      <c r="F19" s="176"/>
      <c r="H19" s="272" t="s">
        <v>51</v>
      </c>
      <c r="I19" s="272"/>
      <c r="J19" s="272"/>
      <c r="K19" s="272"/>
      <c r="L19" s="272"/>
      <c r="M19" s="272"/>
      <c r="N19" s="272"/>
      <c r="O19" s="272"/>
      <c r="P19" s="272"/>
      <c r="Q19" s="272"/>
      <c r="R19" s="272"/>
      <c r="S19" s="272"/>
      <c r="T19" s="272"/>
      <c r="U19" s="272"/>
      <c r="V19" s="272"/>
      <c r="W19" s="272"/>
      <c r="X19" s="272"/>
      <c r="Y19" s="272"/>
      <c r="Z19" s="272"/>
      <c r="AA19" s="272"/>
      <c r="AB19" s="272"/>
      <c r="AC19" s="272"/>
      <c r="AD19" s="272"/>
      <c r="AE19" s="272"/>
      <c r="AF19" s="272"/>
      <c r="AG19" s="272"/>
      <c r="AH19" s="272"/>
      <c r="AI19" s="272"/>
      <c r="AJ19" s="272"/>
      <c r="AK19" s="272"/>
      <c r="AL19" s="272"/>
      <c r="AM19" s="272"/>
      <c r="AN19" s="272"/>
      <c r="AO19" s="272"/>
      <c r="AP19" s="272"/>
      <c r="AQ19" s="272"/>
      <c r="AR19" s="272"/>
      <c r="AS19" s="272"/>
      <c r="AT19" s="272"/>
      <c r="AU19" s="272"/>
      <c r="AV19" s="272"/>
      <c r="AW19" s="272"/>
      <c r="AX19" s="272"/>
      <c r="AZ19" s="274">
        <v>0</v>
      </c>
      <c r="BA19" s="274"/>
      <c r="BB19" s="274"/>
      <c r="BC19" s="274"/>
      <c r="BD19" s="274"/>
      <c r="BE19" s="274"/>
      <c r="BF19" s="274"/>
      <c r="BG19" s="274"/>
      <c r="BH19" s="274"/>
      <c r="BI19" s="176"/>
      <c r="BJ19" s="178"/>
      <c r="BK19" s="178"/>
      <c r="BL19" s="179"/>
      <c r="BM19" s="179"/>
      <c r="BN19" s="179"/>
      <c r="BO19" s="179"/>
      <c r="BP19" s="179"/>
      <c r="BQ19" s="179"/>
      <c r="BR19" s="179"/>
      <c r="BS19" s="179"/>
      <c r="BT19" s="179"/>
      <c r="BU19" s="179"/>
      <c r="BV19" s="179"/>
      <c r="BW19" s="179"/>
      <c r="BX19" s="179"/>
      <c r="BY19" s="179"/>
      <c r="BZ19" s="179"/>
      <c r="CA19" s="179"/>
      <c r="CB19" s="179"/>
      <c r="CC19" s="179"/>
      <c r="CD19" s="179"/>
      <c r="CE19" s="179"/>
      <c r="CF19" s="179"/>
      <c r="CG19" s="179"/>
      <c r="CH19" s="179"/>
      <c r="CI19" s="179"/>
      <c r="CJ19" s="179"/>
    </row>
    <row r="20" spans="6:88" ht="6.95" customHeight="1" x14ac:dyDescent="0.25">
      <c r="F20" s="176"/>
      <c r="H20" s="273"/>
      <c r="I20" s="273"/>
      <c r="J20" s="273"/>
      <c r="K20" s="273"/>
      <c r="L20" s="273"/>
      <c r="M20" s="273"/>
      <c r="N20" s="273"/>
      <c r="O20" s="273"/>
      <c r="P20" s="273"/>
      <c r="Q20" s="273"/>
      <c r="R20" s="273"/>
      <c r="S20" s="273"/>
      <c r="T20" s="273"/>
      <c r="U20" s="273"/>
      <c r="V20" s="273"/>
      <c r="W20" s="273"/>
      <c r="X20" s="273"/>
      <c r="Y20" s="273"/>
      <c r="Z20" s="273"/>
      <c r="AA20" s="273"/>
      <c r="AB20" s="273"/>
      <c r="AC20" s="273"/>
      <c r="AD20" s="273"/>
      <c r="AE20" s="273"/>
      <c r="AF20" s="273"/>
      <c r="AG20" s="273"/>
      <c r="AH20" s="273"/>
      <c r="AI20" s="273"/>
      <c r="AJ20" s="273"/>
      <c r="AK20" s="273"/>
      <c r="AL20" s="273"/>
      <c r="AM20" s="273"/>
      <c r="AN20" s="273"/>
      <c r="AO20" s="273"/>
      <c r="AP20" s="273"/>
      <c r="AQ20" s="273"/>
      <c r="AR20" s="273"/>
      <c r="AS20" s="273"/>
      <c r="AT20" s="273"/>
      <c r="AU20" s="273"/>
      <c r="AV20" s="273"/>
      <c r="AW20" s="273"/>
      <c r="AX20" s="273"/>
      <c r="AZ20" s="275"/>
      <c r="BA20" s="275"/>
      <c r="BB20" s="275"/>
      <c r="BC20" s="275"/>
      <c r="BD20" s="275"/>
      <c r="BE20" s="275"/>
      <c r="BF20" s="275"/>
      <c r="BG20" s="275"/>
      <c r="BH20" s="275"/>
      <c r="BI20" s="176"/>
      <c r="BJ20" s="178"/>
      <c r="BK20" s="178"/>
      <c r="BL20" s="179"/>
      <c r="BM20" s="179"/>
      <c r="BN20" s="179"/>
      <c r="BO20" s="179"/>
      <c r="BP20" s="179"/>
      <c r="BQ20" s="179"/>
      <c r="BR20" s="179"/>
      <c r="BS20" s="179"/>
      <c r="BT20" s="179"/>
      <c r="BU20" s="179"/>
      <c r="BV20" s="179"/>
      <c r="BW20" s="179"/>
      <c r="BX20" s="179"/>
      <c r="BY20" s="179"/>
      <c r="BZ20" s="179"/>
      <c r="CA20" s="179"/>
      <c r="CB20" s="179"/>
      <c r="CC20" s="179"/>
      <c r="CD20" s="179"/>
      <c r="CE20" s="179"/>
      <c r="CF20" s="179"/>
      <c r="CG20" s="179"/>
      <c r="CH20" s="179"/>
      <c r="CI20" s="179"/>
      <c r="CJ20" s="179"/>
    </row>
    <row r="21" spans="6:88" ht="6.95" customHeight="1" x14ac:dyDescent="0.25">
      <c r="F21" s="176"/>
      <c r="H21" s="272" t="s">
        <v>52</v>
      </c>
      <c r="I21" s="272"/>
      <c r="J21" s="272"/>
      <c r="K21" s="272"/>
      <c r="L21" s="272"/>
      <c r="M21" s="272"/>
      <c r="N21" s="272"/>
      <c r="O21" s="272"/>
      <c r="P21" s="272"/>
      <c r="Q21" s="272"/>
      <c r="R21" s="272"/>
      <c r="S21" s="272"/>
      <c r="T21" s="272"/>
      <c r="U21" s="272"/>
      <c r="V21" s="272"/>
      <c r="W21" s="272"/>
      <c r="X21" s="272"/>
      <c r="Y21" s="272"/>
      <c r="Z21" s="272"/>
      <c r="AA21" s="272"/>
      <c r="AB21" s="272"/>
      <c r="AC21" s="272"/>
      <c r="AD21" s="272"/>
      <c r="AE21" s="272"/>
      <c r="AF21" s="272"/>
      <c r="AG21" s="272"/>
      <c r="AH21" s="272"/>
      <c r="AI21" s="272"/>
      <c r="AJ21" s="272"/>
      <c r="AK21" s="272"/>
      <c r="AL21" s="272"/>
      <c r="AM21" s="272"/>
      <c r="AN21" s="272"/>
      <c r="AO21" s="272"/>
      <c r="AP21" s="272"/>
      <c r="AQ21" s="272"/>
      <c r="AR21" s="272"/>
      <c r="AS21" s="272"/>
      <c r="AT21" s="272"/>
      <c r="AU21" s="272"/>
      <c r="AV21" s="272"/>
      <c r="AW21" s="272"/>
      <c r="AX21" s="272"/>
      <c r="AZ21" s="274">
        <v>0</v>
      </c>
      <c r="BA21" s="274"/>
      <c r="BB21" s="274"/>
      <c r="BC21" s="274"/>
      <c r="BD21" s="274"/>
      <c r="BE21" s="274"/>
      <c r="BF21" s="274"/>
      <c r="BG21" s="274"/>
      <c r="BH21" s="274"/>
      <c r="BI21" s="176"/>
      <c r="BJ21" s="178"/>
      <c r="BK21" s="178"/>
    </row>
    <row r="22" spans="6:88" ht="6.95" customHeight="1" x14ac:dyDescent="0.25">
      <c r="F22" s="176"/>
      <c r="H22" s="273"/>
      <c r="I22" s="273"/>
      <c r="J22" s="273"/>
      <c r="K22" s="273"/>
      <c r="L22" s="273"/>
      <c r="M22" s="273"/>
      <c r="N22" s="273"/>
      <c r="O22" s="273"/>
      <c r="P22" s="273"/>
      <c r="Q22" s="273"/>
      <c r="R22" s="273"/>
      <c r="S22" s="273"/>
      <c r="T22" s="273"/>
      <c r="U22" s="273"/>
      <c r="V22" s="273"/>
      <c r="W22" s="273"/>
      <c r="X22" s="273"/>
      <c r="Y22" s="273"/>
      <c r="Z22" s="273"/>
      <c r="AA22" s="273"/>
      <c r="AB22" s="273"/>
      <c r="AC22" s="273"/>
      <c r="AD22" s="273"/>
      <c r="AE22" s="273"/>
      <c r="AF22" s="273"/>
      <c r="AG22" s="273"/>
      <c r="AH22" s="273"/>
      <c r="AI22" s="273"/>
      <c r="AJ22" s="273"/>
      <c r="AK22" s="273"/>
      <c r="AL22" s="273"/>
      <c r="AM22" s="273"/>
      <c r="AN22" s="273"/>
      <c r="AO22" s="273"/>
      <c r="AP22" s="273"/>
      <c r="AQ22" s="273"/>
      <c r="AR22" s="273"/>
      <c r="AS22" s="273"/>
      <c r="AT22" s="273"/>
      <c r="AU22" s="273"/>
      <c r="AV22" s="273"/>
      <c r="AW22" s="273"/>
      <c r="AX22" s="273"/>
      <c r="AZ22" s="275"/>
      <c r="BA22" s="275"/>
      <c r="BB22" s="275"/>
      <c r="BC22" s="275"/>
      <c r="BD22" s="275"/>
      <c r="BE22" s="275"/>
      <c r="BF22" s="275"/>
      <c r="BG22" s="275"/>
      <c r="BH22" s="275"/>
      <c r="BI22" s="176"/>
    </row>
    <row r="23" spans="6:88" ht="6.95" customHeight="1" x14ac:dyDescent="0.25">
      <c r="F23" s="176"/>
      <c r="H23" s="272" t="s">
        <v>53</v>
      </c>
      <c r="I23" s="272"/>
      <c r="J23" s="272"/>
      <c r="K23" s="272"/>
      <c r="L23" s="272"/>
      <c r="M23" s="272"/>
      <c r="N23" s="272"/>
      <c r="O23" s="272"/>
      <c r="P23" s="272"/>
      <c r="Q23" s="272"/>
      <c r="R23" s="272"/>
      <c r="S23" s="272"/>
      <c r="T23" s="272"/>
      <c r="U23" s="272"/>
      <c r="V23" s="272"/>
      <c r="W23" s="272"/>
      <c r="X23" s="272"/>
      <c r="Y23" s="272"/>
      <c r="Z23" s="272"/>
      <c r="AA23" s="272"/>
      <c r="AB23" s="272"/>
      <c r="AC23" s="272"/>
      <c r="AD23" s="272"/>
      <c r="AE23" s="272"/>
      <c r="AF23" s="272"/>
      <c r="AG23" s="272"/>
      <c r="AH23" s="272"/>
      <c r="AI23" s="272"/>
      <c r="AJ23" s="272"/>
      <c r="AK23" s="272"/>
      <c r="AL23" s="272"/>
      <c r="AM23" s="272"/>
      <c r="AN23" s="272"/>
      <c r="AO23" s="272"/>
      <c r="AP23" s="272"/>
      <c r="AQ23" s="272"/>
      <c r="AR23" s="272"/>
      <c r="AS23" s="272"/>
      <c r="AT23" s="272"/>
      <c r="AU23" s="272"/>
      <c r="AV23" s="272"/>
      <c r="AW23" s="272"/>
      <c r="AX23" s="272"/>
      <c r="AZ23" s="274">
        <v>0</v>
      </c>
      <c r="BA23" s="274"/>
      <c r="BB23" s="274"/>
      <c r="BC23" s="274"/>
      <c r="BD23" s="274"/>
      <c r="BE23" s="274"/>
      <c r="BF23" s="274"/>
      <c r="BG23" s="274"/>
      <c r="BH23" s="274"/>
      <c r="BI23" s="176"/>
      <c r="BJ23" s="178"/>
      <c r="BK23" s="178"/>
      <c r="BL23" s="179"/>
      <c r="BM23" s="179"/>
      <c r="BN23" s="179"/>
      <c r="BO23" s="179"/>
      <c r="BP23" s="179"/>
      <c r="BQ23" s="179"/>
      <c r="BR23" s="179"/>
      <c r="BS23" s="179"/>
      <c r="BT23" s="179"/>
      <c r="BU23" s="179"/>
      <c r="BV23" s="179"/>
      <c r="BW23" s="179"/>
      <c r="BX23" s="179"/>
      <c r="BY23" s="179"/>
      <c r="BZ23" s="179"/>
      <c r="CA23" s="179"/>
      <c r="CB23" s="179"/>
      <c r="CC23" s="179"/>
      <c r="CD23" s="179"/>
      <c r="CE23" s="179"/>
      <c r="CF23" s="179"/>
      <c r="CG23" s="179"/>
      <c r="CH23" s="179"/>
      <c r="CI23" s="179"/>
      <c r="CJ23" s="179"/>
    </row>
    <row r="24" spans="6:88" ht="6.95" customHeight="1" x14ac:dyDescent="0.25">
      <c r="F24" s="176"/>
      <c r="H24" s="273"/>
      <c r="I24" s="273"/>
      <c r="J24" s="273"/>
      <c r="K24" s="273"/>
      <c r="L24" s="273"/>
      <c r="M24" s="273"/>
      <c r="N24" s="273"/>
      <c r="O24" s="273"/>
      <c r="P24" s="273"/>
      <c r="Q24" s="273"/>
      <c r="R24" s="273"/>
      <c r="S24" s="273"/>
      <c r="T24" s="273"/>
      <c r="U24" s="273"/>
      <c r="V24" s="273"/>
      <c r="W24" s="273"/>
      <c r="X24" s="273"/>
      <c r="Y24" s="273"/>
      <c r="Z24" s="273"/>
      <c r="AA24" s="273"/>
      <c r="AB24" s="273"/>
      <c r="AC24" s="273"/>
      <c r="AD24" s="273"/>
      <c r="AE24" s="273"/>
      <c r="AF24" s="273"/>
      <c r="AG24" s="273"/>
      <c r="AH24" s="273"/>
      <c r="AI24" s="273"/>
      <c r="AJ24" s="273"/>
      <c r="AK24" s="273"/>
      <c r="AL24" s="273"/>
      <c r="AM24" s="273"/>
      <c r="AN24" s="273"/>
      <c r="AO24" s="273"/>
      <c r="AP24" s="273"/>
      <c r="AQ24" s="273"/>
      <c r="AR24" s="273"/>
      <c r="AS24" s="273"/>
      <c r="AT24" s="273"/>
      <c r="AU24" s="273"/>
      <c r="AV24" s="273"/>
      <c r="AW24" s="273"/>
      <c r="AX24" s="273"/>
      <c r="AZ24" s="275"/>
      <c r="BA24" s="275"/>
      <c r="BB24" s="275"/>
      <c r="BC24" s="275"/>
      <c r="BD24" s="275"/>
      <c r="BE24" s="275"/>
      <c r="BF24" s="275"/>
      <c r="BG24" s="275"/>
      <c r="BH24" s="275"/>
      <c r="BI24" s="176"/>
      <c r="BJ24" s="178"/>
      <c r="BK24" s="178"/>
      <c r="BL24" s="179"/>
      <c r="BM24" s="179"/>
      <c r="BN24" s="179"/>
      <c r="BO24" s="179"/>
      <c r="BP24" s="179"/>
      <c r="BQ24" s="179"/>
      <c r="BR24" s="179"/>
      <c r="BS24" s="179"/>
      <c r="BT24" s="179"/>
      <c r="BU24" s="179"/>
      <c r="BV24" s="179"/>
      <c r="BW24" s="179"/>
      <c r="BX24" s="179"/>
      <c r="BY24" s="179"/>
      <c r="BZ24" s="179"/>
      <c r="CA24" s="179"/>
      <c r="CB24" s="179"/>
      <c r="CC24" s="179"/>
      <c r="CD24" s="179"/>
      <c r="CE24" s="179"/>
      <c r="CF24" s="179"/>
      <c r="CG24" s="179"/>
      <c r="CH24" s="179"/>
      <c r="CI24" s="179"/>
      <c r="CJ24" s="179"/>
    </row>
    <row r="25" spans="6:88" ht="6.95" customHeight="1" x14ac:dyDescent="0.25">
      <c r="F25" s="176"/>
      <c r="H25" s="272" t="s">
        <v>55</v>
      </c>
      <c r="I25" s="272"/>
      <c r="J25" s="272"/>
      <c r="K25" s="272"/>
      <c r="L25" s="272"/>
      <c r="M25" s="272"/>
      <c r="N25" s="272"/>
      <c r="O25" s="272"/>
      <c r="P25" s="272"/>
      <c r="Q25" s="272"/>
      <c r="R25" s="272"/>
      <c r="S25" s="272"/>
      <c r="T25" s="272"/>
      <c r="U25" s="272"/>
      <c r="V25" s="272"/>
      <c r="W25" s="272"/>
      <c r="X25" s="272"/>
      <c r="Y25" s="272"/>
      <c r="Z25" s="272"/>
      <c r="AA25" s="272"/>
      <c r="AB25" s="272"/>
      <c r="AC25" s="272"/>
      <c r="AD25" s="272"/>
      <c r="AE25" s="272"/>
      <c r="AF25" s="272"/>
      <c r="AG25" s="272"/>
      <c r="AH25" s="272"/>
      <c r="AI25" s="272"/>
      <c r="AJ25" s="272"/>
      <c r="AK25" s="272"/>
      <c r="AL25" s="272"/>
      <c r="AM25" s="272"/>
      <c r="AN25" s="272"/>
      <c r="AO25" s="272"/>
      <c r="AP25" s="272"/>
      <c r="AQ25" s="272"/>
      <c r="AR25" s="272"/>
      <c r="AS25" s="272"/>
      <c r="AT25" s="272"/>
      <c r="AU25" s="272"/>
      <c r="AV25" s="272"/>
      <c r="AW25" s="272"/>
      <c r="AX25" s="272"/>
      <c r="AZ25" s="274">
        <v>0</v>
      </c>
      <c r="BA25" s="274"/>
      <c r="BB25" s="274"/>
      <c r="BC25" s="274"/>
      <c r="BD25" s="274"/>
      <c r="BE25" s="274"/>
      <c r="BF25" s="274"/>
      <c r="BG25" s="274"/>
      <c r="BH25" s="274"/>
      <c r="BI25" s="176"/>
      <c r="BJ25" s="178"/>
      <c r="BK25" s="178"/>
      <c r="BL25" s="179"/>
      <c r="BM25" s="179"/>
      <c r="BN25" s="179"/>
      <c r="BO25" s="179"/>
      <c r="BP25" s="179"/>
      <c r="BQ25" s="179"/>
      <c r="BR25" s="179"/>
      <c r="BS25" s="179"/>
      <c r="BT25" s="179"/>
      <c r="BU25" s="179"/>
      <c r="BV25" s="179"/>
      <c r="BW25" s="179"/>
      <c r="BX25" s="179"/>
      <c r="BY25" s="179"/>
      <c r="BZ25" s="179"/>
      <c r="CA25" s="179"/>
      <c r="CB25" s="179"/>
      <c r="CC25" s="179"/>
      <c r="CD25" s="179"/>
      <c r="CE25" s="179"/>
      <c r="CF25" s="179"/>
      <c r="CG25" s="179"/>
      <c r="CH25" s="179"/>
      <c r="CI25" s="179"/>
      <c r="CJ25" s="179"/>
    </row>
    <row r="26" spans="6:88" ht="6.95" customHeight="1" x14ac:dyDescent="0.25">
      <c r="F26" s="176"/>
      <c r="H26" s="273"/>
      <c r="I26" s="273"/>
      <c r="J26" s="273"/>
      <c r="K26" s="273"/>
      <c r="L26" s="273"/>
      <c r="M26" s="273"/>
      <c r="N26" s="273"/>
      <c r="O26" s="273"/>
      <c r="P26" s="273"/>
      <c r="Q26" s="273"/>
      <c r="R26" s="273"/>
      <c r="S26" s="273"/>
      <c r="T26" s="273"/>
      <c r="U26" s="273"/>
      <c r="V26" s="273"/>
      <c r="W26" s="273"/>
      <c r="X26" s="273"/>
      <c r="Y26" s="273"/>
      <c r="Z26" s="273"/>
      <c r="AA26" s="273"/>
      <c r="AB26" s="273"/>
      <c r="AC26" s="273"/>
      <c r="AD26" s="273"/>
      <c r="AE26" s="273"/>
      <c r="AF26" s="273"/>
      <c r="AG26" s="273"/>
      <c r="AH26" s="273"/>
      <c r="AI26" s="273"/>
      <c r="AJ26" s="273"/>
      <c r="AK26" s="273"/>
      <c r="AL26" s="273"/>
      <c r="AM26" s="273"/>
      <c r="AN26" s="273"/>
      <c r="AO26" s="273"/>
      <c r="AP26" s="273"/>
      <c r="AQ26" s="273"/>
      <c r="AR26" s="273"/>
      <c r="AS26" s="273"/>
      <c r="AT26" s="273"/>
      <c r="AU26" s="273"/>
      <c r="AV26" s="273"/>
      <c r="AW26" s="273"/>
      <c r="AX26" s="273"/>
      <c r="AZ26" s="275"/>
      <c r="BA26" s="275"/>
      <c r="BB26" s="275"/>
      <c r="BC26" s="275"/>
      <c r="BD26" s="275"/>
      <c r="BE26" s="275"/>
      <c r="BF26" s="275"/>
      <c r="BG26" s="275"/>
      <c r="BH26" s="275"/>
      <c r="BI26" s="176"/>
      <c r="BJ26" s="178"/>
      <c r="BK26" s="178"/>
      <c r="BL26" s="179"/>
      <c r="BM26" s="179"/>
      <c r="BN26" s="179"/>
      <c r="BO26" s="179"/>
      <c r="BP26" s="179"/>
      <c r="BQ26" s="179"/>
      <c r="BR26" s="179"/>
      <c r="BS26" s="179"/>
      <c r="BT26" s="179"/>
      <c r="BU26" s="179"/>
      <c r="BV26" s="179"/>
      <c r="BW26" s="179"/>
      <c r="BX26" s="179"/>
      <c r="BY26" s="179"/>
      <c r="BZ26" s="179"/>
      <c r="CA26" s="179"/>
      <c r="CB26" s="179"/>
      <c r="CC26" s="179"/>
      <c r="CD26" s="179"/>
      <c r="CE26" s="179"/>
      <c r="CF26" s="179"/>
      <c r="CG26" s="179"/>
      <c r="CH26" s="179"/>
      <c r="CI26" s="179"/>
      <c r="CJ26" s="179"/>
    </row>
    <row r="27" spans="6:88" ht="6.95" customHeight="1" x14ac:dyDescent="0.25">
      <c r="F27" s="176"/>
      <c r="H27" s="272" t="s">
        <v>54</v>
      </c>
      <c r="I27" s="272"/>
      <c r="J27" s="272"/>
      <c r="K27" s="272"/>
      <c r="L27" s="272"/>
      <c r="M27" s="272"/>
      <c r="N27" s="272"/>
      <c r="O27" s="272"/>
      <c r="P27" s="272"/>
      <c r="Q27" s="272"/>
      <c r="R27" s="272"/>
      <c r="S27" s="272"/>
      <c r="T27" s="272"/>
      <c r="U27" s="272"/>
      <c r="V27" s="272"/>
      <c r="W27" s="272"/>
      <c r="X27" s="272"/>
      <c r="Y27" s="272"/>
      <c r="Z27" s="272"/>
      <c r="AA27" s="272"/>
      <c r="AB27" s="272"/>
      <c r="AC27" s="272"/>
      <c r="AD27" s="272"/>
      <c r="AE27" s="272"/>
      <c r="AF27" s="272"/>
      <c r="AG27" s="272"/>
      <c r="AH27" s="272"/>
      <c r="AI27" s="272"/>
      <c r="AJ27" s="272"/>
      <c r="AK27" s="272"/>
      <c r="AL27" s="272"/>
      <c r="AM27" s="272"/>
      <c r="AN27" s="272"/>
      <c r="AO27" s="272"/>
      <c r="AP27" s="272"/>
      <c r="AQ27" s="272"/>
      <c r="AR27" s="272"/>
      <c r="AS27" s="272"/>
      <c r="AT27" s="272"/>
      <c r="AU27" s="272"/>
      <c r="AV27" s="272"/>
      <c r="AW27" s="272"/>
      <c r="AX27" s="272"/>
      <c r="AZ27" s="274">
        <v>0</v>
      </c>
      <c r="BA27" s="274"/>
      <c r="BB27" s="274"/>
      <c r="BC27" s="274"/>
      <c r="BD27" s="274"/>
      <c r="BE27" s="274"/>
      <c r="BF27" s="274"/>
      <c r="BG27" s="274"/>
      <c r="BH27" s="274"/>
      <c r="BI27" s="176"/>
      <c r="BJ27" s="178"/>
      <c r="BK27" s="178"/>
      <c r="BL27" s="179"/>
      <c r="BM27" s="179"/>
      <c r="BN27" s="179"/>
      <c r="BO27" s="179"/>
      <c r="BP27" s="179"/>
      <c r="BQ27" s="179"/>
      <c r="BR27" s="179"/>
      <c r="BS27" s="179"/>
      <c r="BT27" s="179"/>
      <c r="BU27" s="179"/>
      <c r="BV27" s="179"/>
      <c r="BW27" s="179"/>
      <c r="BX27" s="179"/>
      <c r="BY27" s="179"/>
      <c r="BZ27" s="179"/>
      <c r="CA27" s="179"/>
      <c r="CB27" s="179"/>
      <c r="CC27" s="179"/>
      <c r="CD27" s="179"/>
      <c r="CE27" s="179"/>
      <c r="CF27" s="179"/>
      <c r="CG27" s="179"/>
      <c r="CH27" s="179"/>
      <c r="CI27" s="179"/>
      <c r="CJ27" s="179"/>
    </row>
    <row r="28" spans="6:88" ht="6.95" customHeight="1" x14ac:dyDescent="0.25">
      <c r="F28" s="176"/>
      <c r="H28" s="273"/>
      <c r="I28" s="273"/>
      <c r="J28" s="273"/>
      <c r="K28" s="273"/>
      <c r="L28" s="273"/>
      <c r="M28" s="273"/>
      <c r="N28" s="273"/>
      <c r="O28" s="273"/>
      <c r="P28" s="273"/>
      <c r="Q28" s="273"/>
      <c r="R28" s="273"/>
      <c r="S28" s="273"/>
      <c r="T28" s="273"/>
      <c r="U28" s="273"/>
      <c r="V28" s="273"/>
      <c r="W28" s="273"/>
      <c r="X28" s="273"/>
      <c r="Y28" s="273"/>
      <c r="Z28" s="273"/>
      <c r="AA28" s="273"/>
      <c r="AB28" s="273"/>
      <c r="AC28" s="273"/>
      <c r="AD28" s="273"/>
      <c r="AE28" s="273"/>
      <c r="AF28" s="273"/>
      <c r="AG28" s="273"/>
      <c r="AH28" s="273"/>
      <c r="AI28" s="273"/>
      <c r="AJ28" s="273"/>
      <c r="AK28" s="273"/>
      <c r="AL28" s="273"/>
      <c r="AM28" s="273"/>
      <c r="AN28" s="273"/>
      <c r="AO28" s="273"/>
      <c r="AP28" s="273"/>
      <c r="AQ28" s="273"/>
      <c r="AR28" s="273"/>
      <c r="AS28" s="273"/>
      <c r="AT28" s="273"/>
      <c r="AU28" s="273"/>
      <c r="AV28" s="273"/>
      <c r="AW28" s="273"/>
      <c r="AX28" s="273"/>
      <c r="AZ28" s="275"/>
      <c r="BA28" s="275"/>
      <c r="BB28" s="275"/>
      <c r="BC28" s="275"/>
      <c r="BD28" s="275"/>
      <c r="BE28" s="275"/>
      <c r="BF28" s="275"/>
      <c r="BG28" s="275"/>
      <c r="BH28" s="275"/>
      <c r="BI28" s="176"/>
      <c r="BJ28" s="178"/>
      <c r="BK28" s="178"/>
      <c r="BL28" s="179"/>
      <c r="BM28" s="179"/>
      <c r="BN28" s="179"/>
      <c r="BO28" s="179"/>
      <c r="BP28" s="179"/>
      <c r="BQ28" s="179"/>
      <c r="BR28" s="179"/>
      <c r="BS28" s="179"/>
      <c r="BT28" s="179"/>
      <c r="BU28" s="179"/>
      <c r="BV28" s="179"/>
      <c r="BW28" s="179"/>
      <c r="BX28" s="179"/>
      <c r="BY28" s="179"/>
      <c r="BZ28" s="179"/>
      <c r="CA28" s="179"/>
      <c r="CB28" s="179"/>
      <c r="CC28" s="179"/>
      <c r="CD28" s="179"/>
      <c r="CE28" s="179"/>
      <c r="CF28" s="179"/>
      <c r="CG28" s="179"/>
      <c r="CH28" s="179"/>
      <c r="CI28" s="179"/>
      <c r="CJ28" s="179"/>
    </row>
    <row r="29" spans="6:88" ht="3" customHeight="1" x14ac:dyDescent="0.25">
      <c r="F29" s="176"/>
      <c r="G29" s="181"/>
      <c r="H29" s="182"/>
      <c r="I29" s="181"/>
      <c r="J29" s="181"/>
      <c r="K29" s="181"/>
      <c r="L29" s="181"/>
      <c r="M29" s="181"/>
      <c r="N29" s="181"/>
      <c r="O29" s="181"/>
      <c r="P29" s="181"/>
      <c r="Q29" s="181"/>
      <c r="R29" s="181"/>
      <c r="S29" s="181"/>
      <c r="T29" s="181"/>
      <c r="U29" s="181"/>
      <c r="V29" s="181"/>
      <c r="W29" s="181"/>
      <c r="X29" s="181"/>
      <c r="Y29" s="181"/>
      <c r="Z29" s="181"/>
      <c r="AA29" s="181"/>
      <c r="AB29" s="181"/>
      <c r="AC29" s="181"/>
      <c r="AD29" s="181"/>
      <c r="AE29" s="181"/>
      <c r="AF29" s="181"/>
      <c r="AG29" s="181"/>
      <c r="AH29" s="181"/>
      <c r="AI29" s="181"/>
      <c r="AJ29" s="181"/>
      <c r="AK29" s="181"/>
      <c r="AL29" s="181"/>
      <c r="AM29" s="181"/>
      <c r="AN29" s="181"/>
      <c r="AO29" s="181"/>
      <c r="AP29" s="181"/>
      <c r="AQ29" s="181"/>
      <c r="AR29" s="181"/>
      <c r="AS29" s="181"/>
      <c r="AT29" s="181"/>
      <c r="AU29" s="181"/>
      <c r="AV29" s="181"/>
      <c r="AW29" s="181"/>
      <c r="AX29" s="181"/>
      <c r="AY29" s="181"/>
      <c r="AZ29" s="181"/>
      <c r="BA29" s="181"/>
      <c r="BB29" s="181"/>
      <c r="BC29" s="181"/>
      <c r="BD29" s="181"/>
      <c r="BE29" s="181"/>
      <c r="BF29" s="181"/>
      <c r="BG29" s="181"/>
      <c r="BH29" s="181"/>
      <c r="BI29" s="186"/>
    </row>
    <row r="30" spans="6:88" ht="9.9499999999999993" customHeight="1" x14ac:dyDescent="0.25">
      <c r="G30" s="181"/>
      <c r="H30" s="181"/>
      <c r="I30" s="181"/>
      <c r="J30" s="181"/>
      <c r="K30" s="181"/>
      <c r="L30" s="181"/>
      <c r="M30" s="181"/>
      <c r="N30" s="181"/>
      <c r="O30" s="181"/>
      <c r="P30" s="181"/>
      <c r="Q30" s="181"/>
      <c r="R30" s="181"/>
      <c r="S30" s="181"/>
      <c r="T30" s="181"/>
      <c r="U30" s="181"/>
      <c r="V30" s="181"/>
      <c r="W30" s="181"/>
      <c r="X30" s="181"/>
      <c r="Y30" s="181"/>
      <c r="Z30" s="181"/>
      <c r="AA30" s="181"/>
      <c r="AB30" s="181"/>
      <c r="AC30" s="181"/>
      <c r="AD30" s="181"/>
      <c r="AE30" s="181"/>
      <c r="AF30" s="181"/>
      <c r="AG30" s="181"/>
      <c r="AH30" s="181"/>
      <c r="AI30" s="181"/>
      <c r="AJ30" s="181"/>
      <c r="AK30" s="181"/>
      <c r="AL30" s="181"/>
      <c r="AM30" s="181"/>
      <c r="AN30" s="181"/>
      <c r="AO30" s="181"/>
      <c r="AP30" s="181"/>
      <c r="AQ30" s="181"/>
      <c r="AR30" s="181"/>
      <c r="AS30" s="181"/>
      <c r="AT30" s="181"/>
      <c r="AU30" s="181"/>
      <c r="AV30" s="181"/>
      <c r="AW30" s="181"/>
      <c r="AX30" s="181"/>
      <c r="AY30" s="181"/>
      <c r="AZ30" s="181"/>
      <c r="BA30" s="181"/>
      <c r="BB30" s="181"/>
      <c r="BC30" s="181"/>
      <c r="BD30" s="181"/>
      <c r="BE30" s="181"/>
      <c r="BF30" s="181"/>
      <c r="BG30" s="181"/>
      <c r="BH30" s="181"/>
      <c r="BI30" s="181"/>
    </row>
    <row r="31" spans="6:88" ht="6.75" customHeight="1" x14ac:dyDescent="0.25">
      <c r="F31" s="176"/>
      <c r="BI31" s="176"/>
    </row>
    <row r="32" spans="6:88" ht="13.5" customHeight="1" x14ac:dyDescent="0.25">
      <c r="F32" s="176"/>
      <c r="H32" s="284" t="s">
        <v>22</v>
      </c>
      <c r="I32" s="284"/>
      <c r="J32" s="284"/>
      <c r="K32" s="284"/>
      <c r="L32" s="284"/>
      <c r="M32" s="284"/>
      <c r="N32" s="284"/>
      <c r="O32" s="284"/>
      <c r="P32" s="284"/>
      <c r="Q32" s="284"/>
      <c r="R32" s="284"/>
      <c r="S32" s="284"/>
      <c r="T32" s="284"/>
      <c r="U32" s="284"/>
      <c r="V32" s="284"/>
      <c r="W32" s="284"/>
      <c r="X32" s="284"/>
      <c r="Y32" s="284"/>
      <c r="Z32" s="284"/>
      <c r="AA32" s="284"/>
      <c r="AB32" s="284"/>
      <c r="AC32" s="284"/>
      <c r="AD32" s="284"/>
      <c r="AE32" s="284"/>
      <c r="AF32" s="284"/>
      <c r="AG32" s="284"/>
      <c r="AH32" s="284"/>
      <c r="AI32" s="284"/>
      <c r="AJ32" s="284"/>
      <c r="AK32" s="284"/>
      <c r="AL32" s="284"/>
      <c r="AM32" s="284"/>
      <c r="AN32" s="284"/>
      <c r="AO32" s="284"/>
      <c r="AP32" s="284"/>
      <c r="AQ32" s="284"/>
      <c r="AR32" s="284"/>
      <c r="AS32" s="284"/>
      <c r="AT32" s="284"/>
      <c r="AU32" s="284"/>
      <c r="AV32" s="284"/>
      <c r="AW32" s="284"/>
      <c r="AX32" s="284"/>
      <c r="AY32" s="178"/>
      <c r="AZ32" s="274">
        <v>10000</v>
      </c>
      <c r="BA32" s="274"/>
      <c r="BB32" s="274"/>
      <c r="BC32" s="274"/>
      <c r="BD32" s="274"/>
      <c r="BE32" s="274"/>
      <c r="BF32" s="274"/>
      <c r="BG32" s="274"/>
      <c r="BH32" s="274"/>
      <c r="BI32" s="176"/>
    </row>
    <row r="33" spans="6:86" ht="13.5" customHeight="1" x14ac:dyDescent="0.25">
      <c r="F33" s="176"/>
      <c r="H33" s="280" t="s">
        <v>47</v>
      </c>
      <c r="I33" s="280"/>
      <c r="J33" s="280"/>
      <c r="K33" s="280"/>
      <c r="L33" s="280"/>
      <c r="M33" s="280"/>
      <c r="N33" s="280"/>
      <c r="O33" s="280"/>
      <c r="P33" s="280"/>
      <c r="Q33" s="280"/>
      <c r="R33" s="280"/>
      <c r="S33" s="280"/>
      <c r="T33" s="280"/>
      <c r="U33" s="280"/>
      <c r="V33" s="280"/>
      <c r="W33" s="280"/>
      <c r="X33" s="280"/>
      <c r="Y33" s="280"/>
      <c r="Z33" s="280"/>
      <c r="AA33" s="280"/>
      <c r="AB33" s="280"/>
      <c r="AC33" s="280"/>
      <c r="AD33" s="280"/>
      <c r="AE33" s="280"/>
      <c r="AF33" s="280"/>
      <c r="AG33" s="280"/>
      <c r="AH33" s="280"/>
      <c r="AI33" s="280"/>
      <c r="AJ33" s="280"/>
      <c r="AK33" s="280"/>
      <c r="AL33" s="280"/>
      <c r="AM33" s="280"/>
      <c r="AN33" s="280"/>
      <c r="AO33" s="280"/>
      <c r="AP33" s="280"/>
      <c r="AQ33" s="280"/>
      <c r="AR33" s="280"/>
      <c r="AS33" s="280"/>
      <c r="AT33" s="280"/>
      <c r="AU33" s="280"/>
      <c r="AV33" s="280"/>
      <c r="AW33" s="280"/>
      <c r="AX33" s="280"/>
      <c r="AY33" s="178"/>
      <c r="AZ33" s="274">
        <v>-180</v>
      </c>
      <c r="BA33" s="274"/>
      <c r="BB33" s="274"/>
      <c r="BC33" s="274"/>
      <c r="BD33" s="274"/>
      <c r="BE33" s="274"/>
      <c r="BF33" s="274"/>
      <c r="BG33" s="274"/>
      <c r="BH33" s="274"/>
      <c r="BI33" s="176"/>
    </row>
    <row r="34" spans="6:86" ht="13.5" customHeight="1" x14ac:dyDescent="0.25">
      <c r="F34" s="176"/>
      <c r="H34" s="280" t="s">
        <v>12</v>
      </c>
      <c r="I34" s="280"/>
      <c r="J34" s="280"/>
      <c r="K34" s="280"/>
      <c r="L34" s="280"/>
      <c r="M34" s="280"/>
      <c r="N34" s="280"/>
      <c r="O34" s="280"/>
      <c r="P34" s="280"/>
      <c r="Q34" s="280"/>
      <c r="R34" s="280"/>
      <c r="S34" s="280"/>
      <c r="T34" s="280"/>
      <c r="U34" s="280"/>
      <c r="V34" s="280"/>
      <c r="W34" s="280"/>
      <c r="X34" s="280"/>
      <c r="Y34" s="280"/>
      <c r="Z34" s="280"/>
      <c r="AA34" s="280"/>
      <c r="AB34" s="280"/>
      <c r="AC34" s="280"/>
      <c r="AD34" s="280"/>
      <c r="AE34" s="280"/>
      <c r="AF34" s="280"/>
      <c r="AG34" s="280"/>
      <c r="AH34" s="280"/>
      <c r="AI34" s="280"/>
      <c r="AJ34" s="280"/>
      <c r="AK34" s="280"/>
      <c r="AL34" s="280"/>
      <c r="AM34" s="280"/>
      <c r="AN34" s="280"/>
      <c r="AO34" s="280"/>
      <c r="AP34" s="280"/>
      <c r="AQ34" s="280"/>
      <c r="AR34" s="280"/>
      <c r="AS34" s="280"/>
      <c r="AT34" s="280"/>
      <c r="AU34" s="280"/>
      <c r="AV34" s="280"/>
      <c r="AW34" s="280"/>
      <c r="AX34" s="280"/>
      <c r="AY34" s="178"/>
      <c r="AZ34" s="274">
        <v>0</v>
      </c>
      <c r="BA34" s="274"/>
      <c r="BB34" s="274"/>
      <c r="BC34" s="274"/>
      <c r="BD34" s="274"/>
      <c r="BE34" s="274"/>
      <c r="BF34" s="274"/>
      <c r="BG34" s="274"/>
      <c r="BH34" s="274"/>
      <c r="BI34" s="176"/>
    </row>
    <row r="35" spans="6:86" ht="13.5" customHeight="1" x14ac:dyDescent="0.25">
      <c r="F35" s="176"/>
      <c r="H35" s="280" t="s">
        <v>104</v>
      </c>
      <c r="I35" s="280"/>
      <c r="J35" s="280"/>
      <c r="K35" s="280"/>
      <c r="L35" s="280"/>
      <c r="M35" s="280"/>
      <c r="N35" s="280"/>
      <c r="O35" s="280"/>
      <c r="P35" s="280"/>
      <c r="Q35" s="280"/>
      <c r="R35" s="280"/>
      <c r="S35" s="280"/>
      <c r="T35" s="280"/>
      <c r="U35" s="280"/>
      <c r="V35" s="280"/>
      <c r="W35" s="280"/>
      <c r="X35" s="280"/>
      <c r="Y35" s="280"/>
      <c r="Z35" s="280"/>
      <c r="AA35" s="280"/>
      <c r="AB35" s="280"/>
      <c r="AC35" s="280"/>
      <c r="AD35" s="280"/>
      <c r="AE35" s="280"/>
      <c r="AF35" s="280"/>
      <c r="AG35" s="280"/>
      <c r="AH35" s="280"/>
      <c r="AI35" s="280"/>
      <c r="AJ35" s="280"/>
      <c r="AK35" s="280"/>
      <c r="AL35" s="280"/>
      <c r="AM35" s="280"/>
      <c r="AN35" s="280"/>
      <c r="AO35" s="280"/>
      <c r="AP35" s="280"/>
      <c r="AQ35" s="280"/>
      <c r="AR35" s="280"/>
      <c r="AS35" s="280"/>
      <c r="AT35" s="280"/>
      <c r="AU35" s="280"/>
      <c r="AV35" s="280"/>
      <c r="AW35" s="280"/>
      <c r="AX35" s="280"/>
      <c r="AY35" s="178"/>
      <c r="AZ35" s="274">
        <v>-50</v>
      </c>
      <c r="BA35" s="274"/>
      <c r="BB35" s="274"/>
      <c r="BC35" s="274"/>
      <c r="BD35" s="274"/>
      <c r="BE35" s="274"/>
      <c r="BF35" s="274"/>
      <c r="BG35" s="274"/>
      <c r="BH35" s="274"/>
      <c r="BI35" s="176"/>
    </row>
    <row r="36" spans="6:86" ht="13.5" customHeight="1" x14ac:dyDescent="0.25">
      <c r="F36" s="176"/>
      <c r="H36" s="280" t="s">
        <v>5</v>
      </c>
      <c r="I36" s="280"/>
      <c r="J36" s="280"/>
      <c r="K36" s="280"/>
      <c r="L36" s="280"/>
      <c r="M36" s="280"/>
      <c r="N36" s="280"/>
      <c r="O36" s="280"/>
      <c r="P36" s="280"/>
      <c r="Q36" s="280"/>
      <c r="R36" s="280"/>
      <c r="S36" s="280"/>
      <c r="T36" s="280"/>
      <c r="U36" s="280"/>
      <c r="V36" s="280"/>
      <c r="W36" s="280"/>
      <c r="X36" s="280"/>
      <c r="Y36" s="280"/>
      <c r="Z36" s="280"/>
      <c r="AA36" s="280"/>
      <c r="AB36" s="280"/>
      <c r="AC36" s="280"/>
      <c r="AD36" s="280"/>
      <c r="AE36" s="280"/>
      <c r="AF36" s="280"/>
      <c r="AG36" s="280"/>
      <c r="AH36" s="280"/>
      <c r="AI36" s="280"/>
      <c r="AJ36" s="280"/>
      <c r="AK36" s="280"/>
      <c r="AL36" s="280"/>
      <c r="AM36" s="280"/>
      <c r="AN36" s="280"/>
      <c r="AO36" s="280"/>
      <c r="AP36" s="280"/>
      <c r="AQ36" s="280"/>
      <c r="AR36" s="280"/>
      <c r="AS36" s="280"/>
      <c r="AT36" s="280"/>
      <c r="AU36" s="292">
        <v>0.05</v>
      </c>
      <c r="AV36" s="293"/>
      <c r="AW36" s="293"/>
      <c r="AX36" s="293"/>
      <c r="AY36" s="178"/>
      <c r="AZ36" s="274">
        <v>-500</v>
      </c>
      <c r="BA36" s="274"/>
      <c r="BB36" s="274"/>
      <c r="BC36" s="274"/>
      <c r="BD36" s="274"/>
      <c r="BE36" s="274"/>
      <c r="BF36" s="274"/>
      <c r="BG36" s="274"/>
      <c r="BH36" s="274"/>
      <c r="BI36" s="176"/>
    </row>
    <row r="37" spans="6:86" ht="13.5" customHeight="1" x14ac:dyDescent="0.25">
      <c r="F37" s="176"/>
      <c r="H37" s="285" t="s">
        <v>7</v>
      </c>
      <c r="I37" s="285"/>
      <c r="J37" s="285"/>
      <c r="K37" s="285"/>
      <c r="L37" s="285"/>
      <c r="M37" s="285"/>
      <c r="N37" s="285"/>
      <c r="O37" s="285"/>
      <c r="P37" s="285"/>
      <c r="Q37" s="285"/>
      <c r="R37" s="285"/>
      <c r="S37" s="285"/>
      <c r="T37" s="285"/>
      <c r="U37" s="285"/>
      <c r="V37" s="285"/>
      <c r="W37" s="285"/>
      <c r="X37" s="285"/>
      <c r="Y37" s="285"/>
      <c r="Z37" s="285"/>
      <c r="AA37" s="285"/>
      <c r="AB37" s="285"/>
      <c r="AC37" s="285"/>
      <c r="AD37" s="285"/>
      <c r="AE37" s="285"/>
      <c r="AF37" s="285"/>
      <c r="AG37" s="285"/>
      <c r="AH37" s="285"/>
      <c r="AI37" s="285"/>
      <c r="AJ37" s="285"/>
      <c r="AK37" s="285"/>
      <c r="AL37" s="285"/>
      <c r="AM37" s="285"/>
      <c r="AN37" s="285"/>
      <c r="AO37" s="285"/>
      <c r="AP37" s="285"/>
      <c r="AQ37" s="285"/>
      <c r="AR37" s="285"/>
      <c r="AS37" s="285"/>
      <c r="AT37" s="285"/>
      <c r="AU37" s="285"/>
      <c r="AV37" s="285"/>
      <c r="AW37" s="285"/>
      <c r="AX37" s="285"/>
      <c r="AY37" s="178"/>
      <c r="AZ37" s="294">
        <f>RPA_Valor+RPA_INSS+RPA_RetencaoIR+RPA_RetencaoSEST+RPA_RetencaoISS</f>
        <v>9270</v>
      </c>
      <c r="BA37" s="294"/>
      <c r="BB37" s="294"/>
      <c r="BC37" s="294"/>
      <c r="BD37" s="294"/>
      <c r="BE37" s="294"/>
      <c r="BF37" s="294"/>
      <c r="BG37" s="294"/>
      <c r="BH37" s="294"/>
      <c r="BI37" s="176"/>
    </row>
    <row r="38" spans="6:86" ht="9.9499999999999993" customHeight="1" x14ac:dyDescent="0.25">
      <c r="F38" s="176"/>
      <c r="H38" s="281" t="str">
        <f>IF(RPA_VlrLiq=0,"","("&amp;fExtenso(AZ37)&amp;")")</f>
        <v>(Nove mil, duzentos e setenta reais)</v>
      </c>
      <c r="I38" s="281"/>
      <c r="J38" s="281"/>
      <c r="K38" s="281"/>
      <c r="L38" s="281"/>
      <c r="M38" s="281"/>
      <c r="N38" s="281"/>
      <c r="O38" s="281"/>
      <c r="P38" s="281"/>
      <c r="Q38" s="281"/>
      <c r="R38" s="281"/>
      <c r="S38" s="281"/>
      <c r="T38" s="281"/>
      <c r="U38" s="281"/>
      <c r="V38" s="281"/>
      <c r="W38" s="281"/>
      <c r="X38" s="281"/>
      <c r="Y38" s="281"/>
      <c r="Z38" s="281"/>
      <c r="AA38" s="281"/>
      <c r="AB38" s="281"/>
      <c r="AC38" s="281"/>
      <c r="AD38" s="281"/>
      <c r="AE38" s="281"/>
      <c r="AF38" s="281"/>
      <c r="AG38" s="281"/>
      <c r="AH38" s="281"/>
      <c r="AI38" s="281"/>
      <c r="AJ38" s="281"/>
      <c r="AK38" s="281"/>
      <c r="AL38" s="281"/>
      <c r="AM38" s="281"/>
      <c r="AN38" s="281"/>
      <c r="AO38" s="281"/>
      <c r="AP38" s="281"/>
      <c r="AQ38" s="281"/>
      <c r="AR38" s="281"/>
      <c r="AS38" s="281"/>
      <c r="AT38" s="281"/>
      <c r="AU38" s="281"/>
      <c r="AV38" s="281"/>
      <c r="AW38" s="281"/>
      <c r="AX38" s="281"/>
      <c r="AY38" s="281"/>
      <c r="AZ38" s="281"/>
      <c r="BA38" s="281"/>
      <c r="BB38" s="281"/>
      <c r="BC38" s="281"/>
      <c r="BD38" s="281"/>
      <c r="BE38" s="281"/>
      <c r="BF38" s="281"/>
      <c r="BG38" s="281"/>
      <c r="BH38" s="281"/>
      <c r="BI38" s="176"/>
    </row>
    <row r="39" spans="6:86" ht="9.9499999999999993" customHeight="1" x14ac:dyDescent="0.25">
      <c r="F39" s="176"/>
      <c r="H39" s="281"/>
      <c r="I39" s="281"/>
      <c r="J39" s="281"/>
      <c r="K39" s="281"/>
      <c r="L39" s="281"/>
      <c r="M39" s="281"/>
      <c r="N39" s="281"/>
      <c r="O39" s="281"/>
      <c r="P39" s="281"/>
      <c r="Q39" s="281"/>
      <c r="R39" s="281"/>
      <c r="S39" s="281"/>
      <c r="T39" s="281"/>
      <c r="U39" s="281"/>
      <c r="V39" s="281"/>
      <c r="W39" s="281"/>
      <c r="X39" s="281"/>
      <c r="Y39" s="281"/>
      <c r="Z39" s="281"/>
      <c r="AA39" s="281"/>
      <c r="AB39" s="281"/>
      <c r="AC39" s="281"/>
      <c r="AD39" s="281"/>
      <c r="AE39" s="281"/>
      <c r="AF39" s="281"/>
      <c r="AG39" s="281"/>
      <c r="AH39" s="281"/>
      <c r="AI39" s="281"/>
      <c r="AJ39" s="281"/>
      <c r="AK39" s="281"/>
      <c r="AL39" s="281"/>
      <c r="AM39" s="281"/>
      <c r="AN39" s="281"/>
      <c r="AO39" s="281"/>
      <c r="AP39" s="281"/>
      <c r="AQ39" s="281"/>
      <c r="AR39" s="281"/>
      <c r="AS39" s="281"/>
      <c r="AT39" s="281"/>
      <c r="AU39" s="281"/>
      <c r="AV39" s="281"/>
      <c r="AW39" s="281"/>
      <c r="AX39" s="281"/>
      <c r="AY39" s="281"/>
      <c r="AZ39" s="281"/>
      <c r="BA39" s="281"/>
      <c r="BB39" s="281"/>
      <c r="BC39" s="281"/>
      <c r="BD39" s="281"/>
      <c r="BE39" s="281"/>
      <c r="BF39" s="281"/>
      <c r="BG39" s="281"/>
      <c r="BH39" s="281"/>
      <c r="BI39" s="176"/>
    </row>
    <row r="40" spans="6:86" ht="3" customHeight="1" x14ac:dyDescent="0.25">
      <c r="F40" s="176"/>
      <c r="G40" s="181"/>
      <c r="H40" s="182"/>
      <c r="I40" s="181"/>
      <c r="J40" s="181"/>
      <c r="K40" s="181"/>
      <c r="L40" s="181"/>
      <c r="M40" s="181"/>
      <c r="N40" s="181"/>
      <c r="O40" s="181"/>
      <c r="P40" s="181"/>
      <c r="Q40" s="181"/>
      <c r="R40" s="181"/>
      <c r="S40" s="181"/>
      <c r="T40" s="181"/>
      <c r="U40" s="181"/>
      <c r="V40" s="181"/>
      <c r="W40" s="181"/>
      <c r="X40" s="181"/>
      <c r="Y40" s="181"/>
      <c r="Z40" s="181"/>
      <c r="AA40" s="181"/>
      <c r="AB40" s="181"/>
      <c r="AC40" s="181"/>
      <c r="AD40" s="181"/>
      <c r="AE40" s="181"/>
      <c r="AF40" s="181"/>
      <c r="AG40" s="181"/>
      <c r="AH40" s="181"/>
      <c r="AI40" s="181"/>
      <c r="AJ40" s="181"/>
      <c r="AK40" s="181"/>
      <c r="AL40" s="181"/>
      <c r="AM40" s="181"/>
      <c r="AN40" s="181"/>
      <c r="AO40" s="181"/>
      <c r="AP40" s="181"/>
      <c r="AQ40" s="181"/>
      <c r="AR40" s="181"/>
      <c r="AS40" s="181"/>
      <c r="AT40" s="181"/>
      <c r="AU40" s="181"/>
      <c r="AV40" s="181"/>
      <c r="AW40" s="181"/>
      <c r="AX40" s="181"/>
      <c r="AY40" s="181"/>
      <c r="AZ40" s="181"/>
      <c r="BA40" s="181"/>
      <c r="BB40" s="181"/>
      <c r="BC40" s="181"/>
      <c r="BD40" s="181"/>
      <c r="BE40" s="181"/>
      <c r="BF40" s="181"/>
      <c r="BG40" s="181"/>
      <c r="BH40" s="181"/>
      <c r="BI40" s="186"/>
      <c r="CG40" s="188"/>
      <c r="CH40" s="188"/>
    </row>
    <row r="41" spans="6:86" ht="5.25" customHeight="1" x14ac:dyDescent="0.25">
      <c r="G41" s="181"/>
      <c r="H41" s="181"/>
      <c r="I41" s="181"/>
      <c r="J41" s="181"/>
      <c r="K41" s="181"/>
      <c r="L41" s="181"/>
      <c r="M41" s="181"/>
      <c r="N41" s="181"/>
      <c r="O41" s="181"/>
      <c r="P41" s="181"/>
      <c r="Q41" s="181"/>
      <c r="R41" s="181"/>
      <c r="S41" s="181"/>
      <c r="T41" s="181"/>
      <c r="U41" s="181"/>
      <c r="V41" s="181"/>
      <c r="W41" s="181"/>
      <c r="X41" s="181"/>
      <c r="Y41" s="181"/>
      <c r="Z41" s="181"/>
      <c r="AA41" s="181"/>
      <c r="AB41" s="181"/>
      <c r="AC41" s="181"/>
      <c r="AD41" s="181"/>
      <c r="AE41" s="181"/>
      <c r="AF41" s="181"/>
      <c r="AG41" s="181"/>
      <c r="AH41" s="181"/>
      <c r="AI41" s="181"/>
      <c r="AJ41" s="181"/>
      <c r="AK41" s="181"/>
      <c r="AL41" s="181"/>
      <c r="AM41" s="181"/>
      <c r="AN41" s="181"/>
      <c r="AO41" s="181"/>
      <c r="AP41" s="181"/>
      <c r="AQ41" s="181"/>
      <c r="AR41" s="181"/>
      <c r="AS41" s="181"/>
      <c r="AT41" s="181"/>
      <c r="AU41" s="181"/>
      <c r="AV41" s="181"/>
      <c r="AW41" s="181"/>
      <c r="AX41" s="181"/>
      <c r="AY41" s="181"/>
      <c r="AZ41" s="181"/>
      <c r="BA41" s="181"/>
      <c r="BB41" s="181"/>
      <c r="BC41" s="181"/>
      <c r="BD41" s="181"/>
      <c r="BE41" s="181"/>
      <c r="BF41" s="181"/>
      <c r="BG41" s="181"/>
      <c r="BH41" s="181"/>
      <c r="BI41" s="181"/>
      <c r="CG41" s="188"/>
      <c r="CH41" s="188"/>
    </row>
    <row r="42" spans="6:86" s="180" customFormat="1" ht="6" customHeight="1" x14ac:dyDescent="0.25">
      <c r="F42" s="189"/>
      <c r="H42" s="190"/>
      <c r="I42" s="190"/>
      <c r="J42" s="190"/>
      <c r="K42" s="190"/>
      <c r="L42" s="190"/>
      <c r="M42" s="190"/>
      <c r="N42" s="190"/>
      <c r="O42" s="190"/>
      <c r="P42" s="190"/>
      <c r="Q42" s="190"/>
      <c r="R42" s="190"/>
      <c r="S42" s="190"/>
      <c r="T42" s="190"/>
      <c r="U42" s="190"/>
      <c r="V42" s="190"/>
      <c r="W42" s="190"/>
      <c r="X42" s="190"/>
      <c r="Y42" s="190"/>
      <c r="Z42" s="190"/>
      <c r="AA42" s="190"/>
      <c r="AB42" s="190"/>
      <c r="AC42" s="190"/>
      <c r="AD42" s="190"/>
      <c r="AE42" s="190"/>
      <c r="AF42" s="190"/>
      <c r="AG42" s="190"/>
      <c r="AH42" s="190"/>
      <c r="AI42" s="190"/>
      <c r="AJ42" s="190"/>
      <c r="AK42" s="190"/>
      <c r="AL42" s="190"/>
      <c r="AM42" s="190"/>
      <c r="AN42" s="190"/>
      <c r="AO42" s="190"/>
      <c r="AP42" s="190"/>
      <c r="AQ42" s="190"/>
      <c r="AR42" s="190"/>
      <c r="AS42" s="190"/>
      <c r="AT42" s="190"/>
      <c r="AU42" s="190"/>
      <c r="AV42" s="190"/>
      <c r="AW42" s="190"/>
      <c r="AX42" s="190"/>
      <c r="AY42" s="190"/>
      <c r="AZ42" s="190"/>
      <c r="BA42" s="190"/>
      <c r="BB42" s="190"/>
      <c r="BC42" s="190"/>
      <c r="BD42" s="190"/>
      <c r="BE42" s="190"/>
      <c r="BF42" s="190"/>
      <c r="BG42" s="190"/>
      <c r="BH42" s="190"/>
      <c r="BI42" s="191"/>
      <c r="BJ42" s="177"/>
      <c r="BK42" s="177"/>
      <c r="BL42" s="177"/>
      <c r="BM42" s="177"/>
      <c r="BN42" s="177"/>
      <c r="BO42" s="177"/>
      <c r="BP42" s="177"/>
      <c r="BQ42" s="177"/>
      <c r="BR42" s="177"/>
      <c r="BS42" s="177"/>
      <c r="BT42" s="177"/>
      <c r="BU42" s="177"/>
      <c r="BV42" s="177"/>
      <c r="BW42" s="177"/>
      <c r="BX42" s="177"/>
      <c r="BY42" s="177"/>
      <c r="BZ42" s="177"/>
      <c r="CA42" s="177"/>
      <c r="CB42" s="177"/>
      <c r="CC42" s="177"/>
      <c r="CD42" s="177"/>
      <c r="CE42" s="177"/>
      <c r="CF42" s="177"/>
    </row>
    <row r="43" spans="6:86" s="180" customFormat="1" ht="9.9499999999999993" customHeight="1" x14ac:dyDescent="0.25">
      <c r="F43" s="189"/>
      <c r="G43" s="190"/>
      <c r="H43" s="295" t="s">
        <v>91</v>
      </c>
      <c r="I43" s="295"/>
      <c r="J43" s="295"/>
      <c r="K43" s="295"/>
      <c r="L43" s="295"/>
      <c r="M43" s="295"/>
      <c r="N43" s="295"/>
      <c r="O43" s="295"/>
      <c r="P43" s="295"/>
      <c r="Q43" s="295"/>
      <c r="R43" s="295"/>
      <c r="S43" s="295"/>
      <c r="T43" s="295"/>
      <c r="U43" s="295"/>
      <c r="V43" s="295"/>
      <c r="W43" s="295"/>
      <c r="X43" s="295"/>
      <c r="Y43" s="295"/>
      <c r="Z43" s="295"/>
      <c r="AA43" s="295"/>
      <c r="AB43" s="295"/>
      <c r="AC43" s="295"/>
      <c r="AD43" s="295"/>
      <c r="AE43" s="296">
        <v>43411</v>
      </c>
      <c r="AF43" s="296"/>
      <c r="AG43" s="296"/>
      <c r="AH43" s="296"/>
      <c r="AI43" s="296"/>
      <c r="AJ43" s="296"/>
      <c r="AK43" s="296"/>
      <c r="AL43" s="296"/>
      <c r="AM43" s="296"/>
      <c r="AN43" s="296"/>
      <c r="AO43" s="296"/>
      <c r="AP43" s="296"/>
      <c r="AQ43" s="296"/>
      <c r="AR43" s="296"/>
      <c r="AS43" s="296"/>
      <c r="AT43" s="296"/>
      <c r="AU43" s="296"/>
      <c r="AV43" s="296"/>
      <c r="AW43" s="296"/>
      <c r="AX43" s="296"/>
      <c r="AY43" s="296"/>
      <c r="AZ43" s="296"/>
      <c r="BA43" s="296"/>
      <c r="BB43" s="296"/>
      <c r="BC43" s="296"/>
      <c r="BD43" s="296"/>
      <c r="BE43" s="296"/>
      <c r="BF43" s="296"/>
      <c r="BG43" s="296"/>
      <c r="BH43" s="296"/>
      <c r="BI43" s="189"/>
      <c r="BJ43" s="177"/>
      <c r="BK43" s="177"/>
      <c r="BL43" s="177"/>
      <c r="BM43" s="177"/>
      <c r="BN43" s="177"/>
      <c r="BO43" s="177"/>
      <c r="BP43" s="177"/>
      <c r="BQ43" s="177"/>
      <c r="BR43" s="177"/>
      <c r="BS43" s="177"/>
      <c r="BT43" s="177"/>
      <c r="BU43" s="177"/>
      <c r="BV43" s="177"/>
      <c r="BW43" s="177"/>
      <c r="BX43" s="177"/>
      <c r="BY43" s="177"/>
      <c r="BZ43" s="177"/>
      <c r="CA43" s="177"/>
      <c r="CB43" s="177"/>
      <c r="CC43" s="177"/>
      <c r="CD43" s="177"/>
      <c r="CE43" s="177"/>
      <c r="CF43" s="177"/>
    </row>
    <row r="44" spans="6:86" ht="3" customHeight="1" x14ac:dyDescent="0.25">
      <c r="F44" s="176"/>
      <c r="G44" s="181"/>
      <c r="H44" s="198"/>
      <c r="I44" s="198"/>
      <c r="J44" s="198"/>
      <c r="K44" s="198"/>
      <c r="L44" s="198"/>
      <c r="M44" s="198"/>
      <c r="N44" s="198"/>
      <c r="O44" s="198"/>
      <c r="P44" s="198"/>
      <c r="Q44" s="198"/>
      <c r="R44" s="198"/>
      <c r="S44" s="198"/>
      <c r="T44" s="198"/>
      <c r="U44" s="198"/>
      <c r="V44" s="198"/>
      <c r="W44" s="198"/>
      <c r="X44" s="198"/>
      <c r="Y44" s="198"/>
      <c r="Z44" s="198"/>
      <c r="AA44" s="198"/>
      <c r="AB44" s="198"/>
      <c r="AC44" s="198"/>
      <c r="AD44" s="198"/>
      <c r="AE44" s="199"/>
      <c r="AF44" s="199"/>
      <c r="AG44" s="199"/>
      <c r="AH44" s="199"/>
      <c r="AI44" s="199"/>
      <c r="AJ44" s="199"/>
      <c r="AK44" s="199"/>
      <c r="AL44" s="199"/>
      <c r="AM44" s="199"/>
      <c r="AN44" s="199"/>
      <c r="AO44" s="199"/>
      <c r="AP44" s="199"/>
      <c r="AQ44" s="199"/>
      <c r="AR44" s="199"/>
      <c r="AS44" s="199"/>
      <c r="AT44" s="199"/>
      <c r="AU44" s="199"/>
      <c r="AV44" s="199"/>
      <c r="AW44" s="199"/>
      <c r="AX44" s="199"/>
      <c r="AY44" s="199"/>
      <c r="AZ44" s="199"/>
      <c r="BA44" s="199"/>
      <c r="BB44" s="199"/>
      <c r="BC44" s="199"/>
      <c r="BD44" s="199"/>
      <c r="BE44" s="199"/>
      <c r="BF44" s="199"/>
      <c r="BG44" s="199"/>
      <c r="BH44" s="199"/>
      <c r="BI44" s="186"/>
    </row>
    <row r="45" spans="6:86" ht="8.25" customHeight="1" x14ac:dyDescent="0.25">
      <c r="G45" s="281" t="s">
        <v>14</v>
      </c>
      <c r="H45" s="281"/>
      <c r="I45" s="281"/>
      <c r="J45" s="281"/>
      <c r="K45" s="281"/>
      <c r="L45" s="281"/>
      <c r="M45" s="281"/>
      <c r="N45" s="281"/>
      <c r="O45" s="281"/>
      <c r="P45" s="281"/>
      <c r="Q45" s="281"/>
      <c r="R45" s="281"/>
      <c r="S45" s="281"/>
      <c r="T45" s="281"/>
      <c r="U45" s="281"/>
      <c r="V45" s="281"/>
      <c r="W45" s="281"/>
      <c r="X45" s="281"/>
      <c r="Y45" s="281"/>
      <c r="Z45" s="281"/>
      <c r="AA45" s="281"/>
      <c r="AB45" s="281"/>
      <c r="AC45" s="281"/>
      <c r="AD45" s="281"/>
      <c r="AE45" s="178"/>
      <c r="AF45" s="178"/>
      <c r="AG45" s="178"/>
      <c r="AH45" s="178"/>
      <c r="AI45" s="178"/>
      <c r="AJ45" s="178"/>
      <c r="AK45" s="178"/>
      <c r="AL45" s="281" t="s">
        <v>15</v>
      </c>
      <c r="AM45" s="281"/>
      <c r="AN45" s="281"/>
      <c r="AO45" s="281"/>
      <c r="AP45" s="281"/>
      <c r="AQ45" s="281"/>
      <c r="AR45" s="281"/>
      <c r="AS45" s="281"/>
      <c r="AT45" s="281"/>
      <c r="AU45" s="281"/>
      <c r="AV45" s="281"/>
      <c r="AW45" s="281"/>
      <c r="AX45" s="281"/>
      <c r="AY45" s="281"/>
      <c r="AZ45" s="281"/>
      <c r="BA45" s="281"/>
      <c r="BB45" s="281"/>
      <c r="BC45" s="281"/>
      <c r="BD45" s="281"/>
      <c r="BE45" s="281"/>
      <c r="BF45" s="281"/>
      <c r="BG45" s="281"/>
      <c r="BH45" s="281"/>
      <c r="BI45" s="281"/>
    </row>
    <row r="46" spans="6:86" ht="9.9499999999999993" customHeight="1" x14ac:dyDescent="0.25">
      <c r="G46" s="281"/>
      <c r="H46" s="281"/>
      <c r="I46" s="281"/>
      <c r="J46" s="281"/>
      <c r="K46" s="281"/>
      <c r="L46" s="281"/>
      <c r="M46" s="281"/>
      <c r="N46" s="281"/>
      <c r="O46" s="281"/>
      <c r="P46" s="281"/>
      <c r="Q46" s="281"/>
      <c r="R46" s="281"/>
      <c r="S46" s="281"/>
      <c r="T46" s="281"/>
      <c r="U46" s="281"/>
      <c r="V46" s="281"/>
      <c r="W46" s="281"/>
      <c r="X46" s="281"/>
      <c r="Y46" s="281"/>
      <c r="Z46" s="281"/>
      <c r="AA46" s="281"/>
      <c r="AB46" s="281"/>
      <c r="AC46" s="281"/>
      <c r="AD46" s="281"/>
      <c r="AE46" s="178"/>
      <c r="AF46" s="178"/>
      <c r="AG46" s="178"/>
      <c r="AH46" s="178"/>
      <c r="AI46" s="178"/>
      <c r="AJ46" s="178"/>
      <c r="AK46" s="178"/>
      <c r="AL46" s="281"/>
      <c r="AM46" s="281"/>
      <c r="AN46" s="281"/>
      <c r="AO46" s="281"/>
      <c r="AP46" s="281"/>
      <c r="AQ46" s="281"/>
      <c r="AR46" s="281"/>
      <c r="AS46" s="281"/>
      <c r="AT46" s="281"/>
      <c r="AU46" s="281"/>
      <c r="AV46" s="281"/>
      <c r="AW46" s="281"/>
      <c r="AX46" s="281"/>
      <c r="AY46" s="281"/>
      <c r="AZ46" s="281"/>
      <c r="BA46" s="281"/>
      <c r="BB46" s="281"/>
      <c r="BC46" s="281"/>
      <c r="BD46" s="281"/>
      <c r="BE46" s="281"/>
      <c r="BF46" s="281"/>
      <c r="BG46" s="281"/>
      <c r="BH46" s="281"/>
      <c r="BI46" s="281"/>
    </row>
    <row r="48" spans="6:86" ht="11.25" x14ac:dyDescent="0.25">
      <c r="G48" s="192"/>
      <c r="H48" s="192"/>
      <c r="I48" s="192"/>
      <c r="J48" s="192"/>
      <c r="K48" s="192"/>
      <c r="L48" s="192"/>
      <c r="M48" s="192"/>
      <c r="N48" s="192"/>
      <c r="O48" s="192"/>
      <c r="P48" s="192"/>
      <c r="Q48" s="192"/>
      <c r="R48" s="192"/>
      <c r="S48" s="192"/>
      <c r="T48" s="192"/>
      <c r="U48" s="192"/>
      <c r="V48" s="192"/>
      <c r="W48" s="192"/>
      <c r="X48" s="192"/>
      <c r="Y48" s="192"/>
      <c r="Z48" s="192"/>
      <c r="AA48" s="192"/>
      <c r="AB48" s="192"/>
      <c r="AC48" s="192"/>
      <c r="AD48" s="192"/>
      <c r="AE48" s="193"/>
      <c r="AF48" s="193"/>
      <c r="AG48" s="193"/>
      <c r="AH48" s="193"/>
      <c r="AI48" s="193"/>
      <c r="AJ48" s="193"/>
      <c r="AK48" s="193"/>
      <c r="AL48" s="194"/>
      <c r="AM48" s="283"/>
      <c r="AN48" s="283"/>
      <c r="AO48" s="283"/>
      <c r="AP48" s="283"/>
      <c r="AQ48" s="283"/>
      <c r="AR48" s="283"/>
      <c r="AS48" s="283"/>
      <c r="AT48" s="283"/>
      <c r="AU48" s="283"/>
      <c r="AV48" s="283"/>
      <c r="AW48" s="283"/>
      <c r="AX48" s="283"/>
      <c r="AY48" s="283"/>
      <c r="AZ48" s="283"/>
      <c r="BA48" s="283"/>
      <c r="BB48" s="283"/>
      <c r="BC48" s="283"/>
      <c r="BD48" s="283"/>
      <c r="BE48" s="283"/>
      <c r="BF48" s="283"/>
      <c r="BG48" s="283"/>
      <c r="BH48" s="283"/>
      <c r="BI48" s="283"/>
    </row>
    <row r="49" spans="6:88" ht="11.25" x14ac:dyDescent="0.25">
      <c r="G49" s="282" t="s">
        <v>89</v>
      </c>
      <c r="H49" s="282"/>
      <c r="I49" s="282"/>
      <c r="J49" s="282"/>
      <c r="K49" s="282"/>
      <c r="L49" s="282"/>
      <c r="M49" s="282"/>
      <c r="N49" s="282"/>
      <c r="O49" s="282"/>
      <c r="P49" s="282"/>
      <c r="Q49" s="282"/>
      <c r="R49" s="282"/>
      <c r="S49" s="282"/>
      <c r="T49" s="282"/>
      <c r="U49" s="282"/>
      <c r="V49" s="282"/>
      <c r="W49" s="282"/>
      <c r="X49" s="282"/>
      <c r="Y49" s="282"/>
      <c r="Z49" s="282"/>
      <c r="AA49" s="282"/>
      <c r="AB49" s="282"/>
      <c r="AC49" s="282"/>
      <c r="AD49" s="282"/>
      <c r="AE49" s="195"/>
      <c r="AF49" s="195"/>
      <c r="AG49" s="195"/>
      <c r="AH49" s="195"/>
      <c r="AI49" s="195"/>
      <c r="AJ49" s="195"/>
      <c r="AK49" s="195"/>
      <c r="AL49" s="282" t="s">
        <v>141</v>
      </c>
      <c r="AM49" s="282"/>
      <c r="AN49" s="282"/>
      <c r="AO49" s="282"/>
      <c r="AP49" s="282"/>
      <c r="AQ49" s="282"/>
      <c r="AR49" s="282"/>
      <c r="AS49" s="282"/>
      <c r="AT49" s="282"/>
      <c r="AU49" s="282"/>
      <c r="AV49" s="282"/>
      <c r="AW49" s="282"/>
      <c r="AX49" s="282"/>
      <c r="AY49" s="282"/>
      <c r="AZ49" s="282"/>
      <c r="BA49" s="282"/>
      <c r="BB49" s="282"/>
      <c r="BC49" s="282"/>
      <c r="BD49" s="282"/>
      <c r="BE49" s="282"/>
      <c r="BF49" s="282"/>
      <c r="BG49" s="282"/>
      <c r="BH49" s="282"/>
      <c r="BI49" s="282"/>
    </row>
    <row r="50" spans="6:88" ht="9.9499999999999993" customHeight="1" x14ac:dyDescent="0.25">
      <c r="G50" s="281" t="s">
        <v>90</v>
      </c>
      <c r="H50" s="281"/>
      <c r="I50" s="281"/>
      <c r="J50" s="281"/>
      <c r="K50" s="281"/>
      <c r="L50" s="281"/>
      <c r="M50" s="281"/>
      <c r="N50" s="281"/>
      <c r="O50" s="281"/>
      <c r="P50" s="281"/>
      <c r="Q50" s="281"/>
      <c r="R50" s="281"/>
      <c r="S50" s="281"/>
      <c r="T50" s="281"/>
      <c r="U50" s="281"/>
      <c r="V50" s="281"/>
      <c r="W50" s="281"/>
      <c r="X50" s="281"/>
      <c r="Y50" s="281"/>
      <c r="Z50" s="281"/>
      <c r="AA50" s="281"/>
      <c r="AB50" s="281"/>
      <c r="AC50" s="281"/>
      <c r="AD50" s="281"/>
      <c r="AL50" s="281"/>
      <c r="AM50" s="281"/>
      <c r="AN50" s="281"/>
      <c r="AO50" s="281"/>
      <c r="AP50" s="281"/>
      <c r="AQ50" s="281"/>
      <c r="AR50" s="281"/>
      <c r="AS50" s="281"/>
      <c r="AT50" s="281"/>
      <c r="AU50" s="281"/>
      <c r="AV50" s="281"/>
      <c r="AW50" s="281"/>
      <c r="AX50" s="281"/>
      <c r="AY50" s="281"/>
      <c r="AZ50" s="281"/>
      <c r="BA50" s="281"/>
      <c r="BB50" s="281"/>
      <c r="BC50" s="281"/>
      <c r="BD50" s="281"/>
      <c r="BE50" s="281"/>
      <c r="BF50" s="281"/>
      <c r="BG50" s="281"/>
      <c r="BH50" s="281"/>
      <c r="BI50" s="281"/>
    </row>
    <row r="51" spans="6:88" ht="6.75" customHeight="1" x14ac:dyDescent="0.25">
      <c r="F51" s="203"/>
      <c r="G51" s="204"/>
      <c r="H51" s="204"/>
      <c r="I51" s="204"/>
      <c r="J51" s="204"/>
      <c r="K51" s="204"/>
      <c r="L51" s="204"/>
      <c r="M51" s="204"/>
      <c r="N51" s="204"/>
      <c r="O51" s="204"/>
      <c r="P51" s="204"/>
      <c r="Q51" s="204"/>
      <c r="R51" s="204"/>
      <c r="S51" s="204"/>
      <c r="T51" s="204"/>
      <c r="U51" s="204"/>
      <c r="V51" s="204"/>
      <c r="W51" s="204"/>
      <c r="X51" s="204"/>
      <c r="Y51" s="204"/>
      <c r="Z51" s="204"/>
      <c r="AA51" s="204"/>
      <c r="AB51" s="204"/>
      <c r="AC51" s="204"/>
      <c r="AD51" s="204"/>
      <c r="AE51" s="203"/>
      <c r="AF51" s="203"/>
      <c r="AG51" s="203"/>
      <c r="AH51" s="203"/>
      <c r="AI51" s="203"/>
      <c r="AJ51" s="203"/>
      <c r="AK51" s="203"/>
      <c r="AL51" s="204"/>
      <c r="AM51" s="204"/>
      <c r="AN51" s="204"/>
      <c r="AO51" s="204"/>
      <c r="AP51" s="204"/>
      <c r="AQ51" s="204"/>
      <c r="AR51" s="204"/>
      <c r="AS51" s="204"/>
      <c r="AT51" s="204"/>
      <c r="AU51" s="204"/>
      <c r="AV51" s="204"/>
      <c r="AW51" s="204"/>
      <c r="AX51" s="204"/>
      <c r="AY51" s="204"/>
      <c r="AZ51" s="204"/>
      <c r="BA51" s="204"/>
      <c r="BB51" s="204"/>
      <c r="BC51" s="204"/>
      <c r="BD51" s="204"/>
      <c r="BE51" s="204"/>
      <c r="BF51" s="204"/>
      <c r="BG51" s="204"/>
      <c r="BH51" s="204"/>
      <c r="BI51" s="204"/>
    </row>
    <row r="52" spans="6:88" ht="6.75" customHeight="1" x14ac:dyDescent="0.25">
      <c r="F52" s="178"/>
      <c r="G52" s="202"/>
      <c r="H52" s="202"/>
      <c r="I52" s="202"/>
      <c r="J52" s="202"/>
      <c r="K52" s="202"/>
      <c r="L52" s="202"/>
      <c r="M52" s="202"/>
      <c r="N52" s="202"/>
      <c r="O52" s="202"/>
      <c r="P52" s="202"/>
      <c r="Q52" s="202"/>
      <c r="R52" s="202"/>
      <c r="S52" s="202"/>
      <c r="T52" s="202"/>
      <c r="U52" s="202"/>
      <c r="V52" s="202"/>
      <c r="W52" s="202"/>
      <c r="X52" s="202"/>
      <c r="Y52" s="202"/>
      <c r="Z52" s="202"/>
      <c r="AA52" s="202"/>
      <c r="AB52" s="202"/>
      <c r="AC52" s="202"/>
      <c r="AD52" s="202"/>
      <c r="AE52" s="178"/>
      <c r="AF52" s="178"/>
      <c r="AG52" s="178"/>
      <c r="AH52" s="178"/>
      <c r="AI52" s="178"/>
      <c r="AJ52" s="178"/>
      <c r="AK52" s="178"/>
      <c r="AL52" s="202"/>
      <c r="AM52" s="202"/>
      <c r="AN52" s="202"/>
      <c r="AO52" s="202"/>
      <c r="AP52" s="202"/>
      <c r="AQ52" s="202"/>
      <c r="AR52" s="202"/>
      <c r="AS52" s="202"/>
      <c r="AT52" s="202"/>
      <c r="AU52" s="202"/>
      <c r="AV52" s="202"/>
      <c r="AW52" s="202"/>
      <c r="AX52" s="202"/>
      <c r="AY52" s="202"/>
      <c r="AZ52" s="202"/>
      <c r="BA52" s="202"/>
      <c r="BB52" s="202"/>
      <c r="BC52" s="202"/>
      <c r="BD52" s="202"/>
      <c r="BE52" s="202"/>
      <c r="BF52" s="202"/>
      <c r="BG52" s="202"/>
      <c r="BH52" s="202"/>
      <c r="BI52" s="202"/>
    </row>
    <row r="53" spans="6:88" ht="11.25" x14ac:dyDescent="0.25">
      <c r="G53" s="297" t="str">
        <f>G2</f>
        <v>RECIBO DE PAGAMENTO À AUTÔNOMO Nº 1</v>
      </c>
      <c r="H53" s="297"/>
      <c r="I53" s="297"/>
      <c r="J53" s="297"/>
      <c r="K53" s="297"/>
      <c r="L53" s="297"/>
      <c r="M53" s="297"/>
      <c r="N53" s="297"/>
      <c r="O53" s="297"/>
      <c r="P53" s="297"/>
      <c r="Q53" s="297"/>
      <c r="R53" s="297"/>
      <c r="S53" s="297"/>
      <c r="T53" s="297"/>
      <c r="U53" s="297"/>
      <c r="V53" s="297"/>
      <c r="W53" s="297"/>
      <c r="X53" s="297"/>
      <c r="Y53" s="297"/>
      <c r="Z53" s="297"/>
      <c r="AA53" s="297"/>
      <c r="AB53" s="297"/>
      <c r="AC53" s="297"/>
      <c r="AD53" s="297"/>
      <c r="AE53" s="297"/>
      <c r="AF53" s="297"/>
      <c r="AG53" s="297"/>
      <c r="AH53" s="297"/>
      <c r="AI53" s="297"/>
      <c r="AJ53" s="297"/>
      <c r="AK53" s="297"/>
      <c r="AL53" s="297"/>
      <c r="AM53" s="297"/>
      <c r="AN53" s="297"/>
      <c r="AO53" s="297"/>
      <c r="AP53" s="297"/>
      <c r="AQ53" s="297"/>
      <c r="AR53" s="297"/>
      <c r="AS53" s="297"/>
      <c r="AT53" s="297"/>
      <c r="AU53" s="297"/>
      <c r="AV53" s="297"/>
      <c r="AW53" s="297"/>
      <c r="AX53" s="297"/>
      <c r="AY53" s="297"/>
      <c r="AZ53" s="297"/>
      <c r="BA53" s="297"/>
      <c r="BB53" s="297"/>
      <c r="BC53" s="297"/>
      <c r="BD53" s="297"/>
      <c r="BE53" s="297"/>
      <c r="BF53" s="297"/>
      <c r="BG53" s="297"/>
      <c r="BH53" s="297"/>
      <c r="BI53" s="297"/>
    </row>
    <row r="54" spans="6:88" ht="8.25" customHeight="1" x14ac:dyDescent="0.25">
      <c r="G54" s="181"/>
      <c r="H54" s="182"/>
      <c r="I54" s="181"/>
      <c r="J54" s="181"/>
      <c r="K54" s="181"/>
      <c r="L54" s="181"/>
      <c r="M54" s="181"/>
      <c r="N54" s="181"/>
      <c r="O54" s="181"/>
      <c r="P54" s="181"/>
      <c r="Q54" s="181"/>
      <c r="R54" s="181"/>
      <c r="S54" s="181"/>
      <c r="T54" s="181"/>
      <c r="U54" s="181"/>
      <c r="V54" s="181"/>
      <c r="W54" s="181"/>
      <c r="X54" s="181"/>
      <c r="Y54" s="181"/>
      <c r="Z54" s="181"/>
      <c r="AA54" s="181"/>
      <c r="AB54" s="181"/>
      <c r="AC54" s="181"/>
      <c r="AD54" s="181"/>
      <c r="AE54" s="181"/>
      <c r="AF54" s="181"/>
      <c r="AG54" s="181"/>
      <c r="AH54" s="178"/>
      <c r="AI54" s="181"/>
      <c r="AJ54" s="181"/>
      <c r="AK54" s="181"/>
      <c r="AL54" s="181"/>
      <c r="AM54" s="181"/>
      <c r="AN54" s="181"/>
      <c r="AO54" s="181"/>
      <c r="AP54" s="181"/>
      <c r="AQ54" s="181"/>
      <c r="AR54" s="181"/>
      <c r="AS54" s="181"/>
      <c r="AT54" s="181"/>
      <c r="AU54" s="181"/>
      <c r="AV54" s="181"/>
      <c r="AW54" s="181"/>
      <c r="AX54" s="181"/>
      <c r="AY54" s="181"/>
      <c r="AZ54" s="181"/>
      <c r="BA54" s="181"/>
      <c r="BB54" s="181"/>
      <c r="BC54" s="181"/>
      <c r="BD54" s="181"/>
      <c r="BE54" s="181"/>
      <c r="BF54" s="181"/>
      <c r="BG54" s="181"/>
      <c r="BH54" s="181"/>
      <c r="BI54" s="181"/>
    </row>
    <row r="55" spans="6:88" ht="6.95" customHeight="1" x14ac:dyDescent="0.25">
      <c r="F55" s="176"/>
      <c r="H55" s="183"/>
      <c r="I55" s="184"/>
      <c r="J55" s="184"/>
      <c r="K55" s="184"/>
      <c r="L55" s="184"/>
      <c r="M55" s="184"/>
      <c r="N55" s="184"/>
      <c r="O55" s="184"/>
      <c r="P55" s="184"/>
      <c r="Q55" s="184"/>
      <c r="R55" s="184"/>
      <c r="S55" s="184"/>
      <c r="T55" s="184"/>
      <c r="U55" s="184"/>
      <c r="V55" s="184"/>
      <c r="W55" s="184"/>
      <c r="X55" s="184"/>
      <c r="Y55" s="184"/>
      <c r="Z55" s="184"/>
      <c r="AA55" s="184"/>
      <c r="AB55" s="184"/>
      <c r="AC55" s="184"/>
      <c r="AD55" s="184"/>
      <c r="AE55" s="184"/>
      <c r="AF55" s="184"/>
      <c r="AG55" s="185"/>
      <c r="AH55" s="286"/>
      <c r="AI55" s="200"/>
      <c r="AJ55" s="184"/>
      <c r="AK55" s="184"/>
      <c r="AL55" s="184"/>
      <c r="AM55" s="184"/>
      <c r="AN55" s="184"/>
      <c r="AO55" s="184"/>
      <c r="AP55" s="184"/>
      <c r="AQ55" s="184"/>
      <c r="AR55" s="184"/>
      <c r="AS55" s="184"/>
      <c r="AT55" s="184"/>
      <c r="AU55" s="184"/>
      <c r="AV55" s="184"/>
      <c r="AW55" s="184"/>
      <c r="AX55" s="184"/>
      <c r="AY55" s="184"/>
      <c r="AZ55" s="184"/>
      <c r="BA55" s="184"/>
      <c r="BB55" s="184"/>
      <c r="BC55" s="184"/>
      <c r="BD55" s="184"/>
      <c r="BE55" s="184"/>
      <c r="BF55" s="184"/>
      <c r="BI55" s="185"/>
    </row>
    <row r="56" spans="6:88" ht="11.25" x14ac:dyDescent="0.25">
      <c r="F56" s="176"/>
      <c r="G56" s="287" t="str">
        <f>RPA_Tomador</f>
        <v>Quota Empreendimentos Imobiliários Ltda.</v>
      </c>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9"/>
      <c r="AH56" s="286"/>
      <c r="AI56" s="287" t="str">
        <f>RPA_Prestador</f>
        <v>Régis Marinho</v>
      </c>
      <c r="AJ56" s="288"/>
      <c r="AK56" s="288"/>
      <c r="AL56" s="288"/>
      <c r="AM56" s="288"/>
      <c r="AN56" s="288"/>
      <c r="AO56" s="288"/>
      <c r="AP56" s="288"/>
      <c r="AQ56" s="288"/>
      <c r="AR56" s="288"/>
      <c r="AS56" s="288"/>
      <c r="AT56" s="288"/>
      <c r="AU56" s="288"/>
      <c r="AV56" s="288"/>
      <c r="AW56" s="288"/>
      <c r="AX56" s="288"/>
      <c r="AY56" s="288"/>
      <c r="AZ56" s="288"/>
      <c r="BA56" s="288"/>
      <c r="BB56" s="288"/>
      <c r="BC56" s="288"/>
      <c r="BD56" s="288"/>
      <c r="BE56" s="288"/>
      <c r="BF56" s="288"/>
      <c r="BG56" s="288"/>
      <c r="BH56" s="288"/>
      <c r="BI56" s="289"/>
      <c r="BJ56" s="178"/>
      <c r="BK56" s="178"/>
    </row>
    <row r="57" spans="6:88" ht="15" customHeight="1" x14ac:dyDescent="0.25">
      <c r="F57" s="176"/>
      <c r="G57" s="269" t="str">
        <f ca="1">RPA_TomadorCNPJ</f>
        <v/>
      </c>
      <c r="H57" s="270"/>
      <c r="I57" s="270"/>
      <c r="J57" s="270"/>
      <c r="K57" s="270"/>
      <c r="L57" s="270"/>
      <c r="M57" s="270"/>
      <c r="N57" s="270"/>
      <c r="O57" s="270"/>
      <c r="P57" s="270"/>
      <c r="Q57" s="270"/>
      <c r="R57" s="270"/>
      <c r="S57" s="270"/>
      <c r="T57" s="270"/>
      <c r="U57" s="270"/>
      <c r="V57" s="270"/>
      <c r="W57" s="270"/>
      <c r="X57" s="270"/>
      <c r="Y57" s="270"/>
      <c r="Z57" s="270"/>
      <c r="AA57" s="270"/>
      <c r="AB57" s="270"/>
      <c r="AC57" s="270"/>
      <c r="AD57" s="270"/>
      <c r="AE57" s="270"/>
      <c r="AF57" s="270"/>
      <c r="AG57" s="290"/>
      <c r="AH57" s="286"/>
      <c r="AI57" s="269" t="str">
        <f ca="1">RPA_Prestador_CPF</f>
        <v/>
      </c>
      <c r="AJ57" s="270"/>
      <c r="AK57" s="270"/>
      <c r="AL57" s="270"/>
      <c r="AM57" s="270"/>
      <c r="AN57" s="270"/>
      <c r="AO57" s="270"/>
      <c r="AP57" s="270"/>
      <c r="AQ57" s="265" t="str">
        <f ca="1">RPA_Prestador_InscrINSS</f>
        <v/>
      </c>
      <c r="AR57" s="265"/>
      <c r="AS57" s="265"/>
      <c r="AT57" s="265"/>
      <c r="AU57" s="265"/>
      <c r="AV57" s="265"/>
      <c r="AW57" s="265"/>
      <c r="AX57" s="265"/>
      <c r="AY57" s="265"/>
      <c r="AZ57" s="265" t="str">
        <f ca="1">RPA_Prestador_InscrPIS</f>
        <v/>
      </c>
      <c r="BA57" s="265"/>
      <c r="BB57" s="265"/>
      <c r="BC57" s="265"/>
      <c r="BD57" s="265"/>
      <c r="BE57" s="265"/>
      <c r="BF57" s="265"/>
      <c r="BG57" s="265"/>
      <c r="BH57" s="265"/>
      <c r="BI57" s="266"/>
      <c r="BJ57" s="178"/>
      <c r="BK57" s="178"/>
    </row>
    <row r="58" spans="6:88" ht="3" customHeight="1" x14ac:dyDescent="0.25">
      <c r="F58" s="176"/>
      <c r="G58" s="181"/>
      <c r="H58" s="196"/>
      <c r="I58" s="196"/>
      <c r="J58" s="196"/>
      <c r="K58" s="196"/>
      <c r="L58" s="196"/>
      <c r="M58" s="196"/>
      <c r="N58" s="196"/>
      <c r="O58" s="196"/>
      <c r="P58" s="196"/>
      <c r="Q58" s="196"/>
      <c r="R58" s="196"/>
      <c r="S58" s="196"/>
      <c r="T58" s="196"/>
      <c r="U58" s="196"/>
      <c r="V58" s="196"/>
      <c r="W58" s="196"/>
      <c r="X58" s="196"/>
      <c r="Y58" s="196"/>
      <c r="Z58" s="196"/>
      <c r="AA58" s="196"/>
      <c r="AB58" s="196"/>
      <c r="AC58" s="196"/>
      <c r="AD58" s="196"/>
      <c r="AE58" s="196"/>
      <c r="AF58" s="196"/>
      <c r="AG58" s="197"/>
      <c r="AH58" s="286"/>
      <c r="AI58" s="201"/>
      <c r="AJ58" s="196"/>
      <c r="AK58" s="196"/>
      <c r="AL58" s="196"/>
      <c r="AM58" s="196"/>
      <c r="AN58" s="196"/>
      <c r="AO58" s="196"/>
      <c r="AP58" s="196"/>
      <c r="AQ58" s="196"/>
      <c r="AR58" s="196"/>
      <c r="AS58" s="196"/>
      <c r="AT58" s="196"/>
      <c r="AU58" s="196"/>
      <c r="AV58" s="196"/>
      <c r="AW58" s="196"/>
      <c r="AX58" s="196"/>
      <c r="AY58" s="196"/>
      <c r="AZ58" s="196"/>
      <c r="BA58" s="196"/>
      <c r="BB58" s="196"/>
      <c r="BC58" s="196"/>
      <c r="BD58" s="196"/>
      <c r="BE58" s="196"/>
      <c r="BF58" s="196"/>
      <c r="BG58" s="181"/>
      <c r="BH58" s="181"/>
      <c r="BI58" s="186"/>
      <c r="BJ58" s="178"/>
      <c r="BK58" s="178"/>
    </row>
    <row r="59" spans="6:88" ht="9.9499999999999993" customHeight="1" x14ac:dyDescent="0.25">
      <c r="G59" s="181"/>
      <c r="H59" s="181"/>
      <c r="I59" s="181"/>
      <c r="J59" s="181"/>
      <c r="K59" s="181"/>
      <c r="L59" s="181"/>
      <c r="M59" s="181"/>
      <c r="N59" s="181"/>
      <c r="O59" s="181"/>
      <c r="P59" s="181"/>
      <c r="Q59" s="181"/>
      <c r="R59" s="181"/>
      <c r="S59" s="181"/>
      <c r="T59" s="181"/>
      <c r="U59" s="181"/>
      <c r="V59" s="181"/>
      <c r="W59" s="181"/>
      <c r="X59" s="181"/>
      <c r="Y59" s="181"/>
      <c r="Z59" s="181"/>
      <c r="AA59" s="181"/>
      <c r="AB59" s="181"/>
      <c r="AC59" s="181"/>
      <c r="AD59" s="181"/>
      <c r="AE59" s="181"/>
      <c r="AF59" s="181"/>
      <c r="AG59" s="181"/>
      <c r="AH59" s="181"/>
      <c r="AI59" s="181"/>
      <c r="AJ59" s="181"/>
      <c r="AK59" s="181"/>
      <c r="AL59" s="181"/>
      <c r="AM59" s="181"/>
      <c r="AN59" s="181"/>
      <c r="AO59" s="181"/>
      <c r="AP59" s="181"/>
      <c r="AQ59" s="181"/>
      <c r="AR59" s="181"/>
      <c r="AS59" s="181"/>
      <c r="AT59" s="181"/>
      <c r="AU59" s="181"/>
      <c r="AV59" s="181"/>
      <c r="AW59" s="181"/>
      <c r="AX59" s="181"/>
      <c r="AY59" s="181"/>
      <c r="AZ59" s="181"/>
      <c r="BA59" s="181"/>
      <c r="BB59" s="181"/>
      <c r="BC59" s="181"/>
      <c r="BD59" s="181"/>
      <c r="BE59" s="181"/>
      <c r="BF59" s="181"/>
      <c r="BG59" s="181"/>
      <c r="BH59" s="181"/>
      <c r="BI59" s="181"/>
      <c r="BJ59" s="178"/>
      <c r="BK59" s="178"/>
      <c r="BL59" s="179"/>
      <c r="BM59" s="179"/>
      <c r="BN59" s="179"/>
      <c r="BO59" s="179"/>
      <c r="BP59" s="179"/>
      <c r="BQ59" s="179"/>
      <c r="BR59" s="179"/>
      <c r="BS59" s="179"/>
      <c r="BT59" s="179"/>
      <c r="BU59" s="179"/>
      <c r="BV59" s="179"/>
      <c r="BW59" s="179"/>
      <c r="BX59" s="179"/>
      <c r="BY59" s="179"/>
      <c r="BZ59" s="179"/>
      <c r="CA59" s="179"/>
      <c r="CB59" s="179"/>
      <c r="CC59" s="179"/>
      <c r="CD59" s="179"/>
      <c r="CE59" s="179"/>
      <c r="CF59" s="179"/>
      <c r="CG59" s="179"/>
      <c r="CH59" s="179"/>
      <c r="CI59" s="179"/>
      <c r="CJ59" s="179"/>
    </row>
    <row r="60" spans="6:88" ht="5.0999999999999996" customHeight="1" x14ac:dyDescent="0.25">
      <c r="F60" s="176"/>
      <c r="H60" s="177"/>
      <c r="BI60" s="185"/>
      <c r="BJ60" s="178"/>
      <c r="BK60" s="178"/>
      <c r="BL60" s="179"/>
      <c r="BM60" s="179"/>
      <c r="BN60" s="179"/>
      <c r="BO60" s="179"/>
      <c r="BP60" s="179"/>
      <c r="BQ60" s="179"/>
      <c r="BR60" s="179"/>
      <c r="BS60" s="179"/>
      <c r="BT60" s="179"/>
      <c r="BU60" s="179"/>
      <c r="BV60" s="179"/>
      <c r="BW60" s="179"/>
      <c r="BX60" s="179"/>
      <c r="BY60" s="179"/>
      <c r="BZ60" s="179"/>
      <c r="CA60" s="179"/>
      <c r="CB60" s="179"/>
      <c r="CC60" s="179"/>
      <c r="CD60" s="179"/>
      <c r="CE60" s="179"/>
      <c r="CF60" s="179"/>
      <c r="CG60" s="179"/>
      <c r="CH60" s="179"/>
      <c r="CI60" s="179"/>
      <c r="CJ60" s="179"/>
    </row>
    <row r="61" spans="6:88" ht="9.9499999999999993" customHeight="1" x14ac:dyDescent="0.25">
      <c r="F61" s="176"/>
      <c r="H61" s="291" t="str">
        <f>RPA_Descricao</f>
        <v>serviços de tranporte rodoviário.</v>
      </c>
      <c r="I61" s="291"/>
      <c r="J61" s="291"/>
      <c r="K61" s="291"/>
      <c r="L61" s="291"/>
      <c r="M61" s="291"/>
      <c r="N61" s="291"/>
      <c r="O61" s="291"/>
      <c r="P61" s="291"/>
      <c r="Q61" s="291"/>
      <c r="R61" s="291"/>
      <c r="S61" s="291"/>
      <c r="T61" s="291"/>
      <c r="U61" s="291"/>
      <c r="V61" s="291"/>
      <c r="W61" s="291"/>
      <c r="X61" s="291"/>
      <c r="Y61" s="291"/>
      <c r="Z61" s="291"/>
      <c r="AA61" s="291"/>
      <c r="AB61" s="291"/>
      <c r="AC61" s="291"/>
      <c r="AD61" s="291"/>
      <c r="AE61" s="291"/>
      <c r="AF61" s="291"/>
      <c r="AG61" s="291"/>
      <c r="AH61" s="291"/>
      <c r="AI61" s="291"/>
      <c r="AJ61" s="291"/>
      <c r="AK61" s="291"/>
      <c r="AL61" s="291"/>
      <c r="AM61" s="291"/>
      <c r="AN61" s="291"/>
      <c r="AO61" s="291"/>
      <c r="AP61" s="291"/>
      <c r="AQ61" s="291"/>
      <c r="AR61" s="291"/>
      <c r="AS61" s="291"/>
      <c r="AT61" s="291"/>
      <c r="AU61" s="291"/>
      <c r="AV61" s="291"/>
      <c r="AW61" s="291"/>
      <c r="AX61" s="291"/>
      <c r="AY61" s="291"/>
      <c r="AZ61" s="291"/>
      <c r="BA61" s="291"/>
      <c r="BB61" s="291"/>
      <c r="BC61" s="291"/>
      <c r="BD61" s="291"/>
      <c r="BE61" s="291"/>
      <c r="BF61" s="291"/>
      <c r="BG61" s="291"/>
      <c r="BH61" s="291"/>
      <c r="BI61" s="176"/>
      <c r="BJ61" s="178"/>
      <c r="BK61" s="178"/>
      <c r="BL61" s="179"/>
      <c r="BM61" s="179"/>
      <c r="BN61" s="179"/>
      <c r="BO61" s="179"/>
      <c r="BP61" s="179"/>
      <c r="BQ61" s="179"/>
      <c r="BR61" s="179"/>
      <c r="BS61" s="179"/>
      <c r="BT61" s="179"/>
      <c r="BU61" s="179"/>
      <c r="BV61" s="179"/>
      <c r="BW61" s="179"/>
      <c r="BX61" s="179"/>
      <c r="BY61" s="179"/>
      <c r="BZ61" s="179"/>
      <c r="CA61" s="179"/>
      <c r="CB61" s="179"/>
      <c r="CC61" s="179"/>
      <c r="CD61" s="179"/>
      <c r="CE61" s="179"/>
      <c r="CF61" s="179"/>
      <c r="CG61" s="179"/>
      <c r="CH61" s="179"/>
      <c r="CI61" s="179"/>
      <c r="CJ61" s="179"/>
    </row>
    <row r="62" spans="6:88" ht="9.9499999999999993" customHeight="1" x14ac:dyDescent="0.25">
      <c r="F62" s="176"/>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c r="AR62" s="291"/>
      <c r="AS62" s="291"/>
      <c r="AT62" s="291"/>
      <c r="AU62" s="291"/>
      <c r="AV62" s="291"/>
      <c r="AW62" s="291"/>
      <c r="AX62" s="291"/>
      <c r="AY62" s="291"/>
      <c r="AZ62" s="291"/>
      <c r="BA62" s="291"/>
      <c r="BB62" s="291"/>
      <c r="BC62" s="291"/>
      <c r="BD62" s="291"/>
      <c r="BE62" s="291"/>
      <c r="BF62" s="291"/>
      <c r="BG62" s="291"/>
      <c r="BH62" s="291"/>
      <c r="BI62" s="176"/>
      <c r="BJ62" s="178"/>
      <c r="BK62" s="178"/>
      <c r="BL62" s="179"/>
      <c r="BM62" s="179"/>
      <c r="BN62" s="179"/>
      <c r="BO62" s="179"/>
      <c r="BP62" s="179"/>
      <c r="BQ62" s="179"/>
      <c r="BR62" s="179"/>
      <c r="BS62" s="179"/>
      <c r="BT62" s="179"/>
      <c r="BU62" s="179"/>
      <c r="BV62" s="179"/>
      <c r="BW62" s="179"/>
      <c r="BX62" s="179"/>
      <c r="BY62" s="179"/>
      <c r="BZ62" s="179"/>
      <c r="CA62" s="179"/>
      <c r="CB62" s="179"/>
      <c r="CC62" s="179"/>
      <c r="CD62" s="179"/>
      <c r="CE62" s="179"/>
      <c r="CF62" s="179"/>
      <c r="CG62" s="179"/>
      <c r="CH62" s="179"/>
      <c r="CI62" s="179"/>
      <c r="CJ62" s="179"/>
    </row>
    <row r="63" spans="6:88" ht="3" customHeight="1" x14ac:dyDescent="0.25">
      <c r="F63" s="176"/>
      <c r="G63" s="181"/>
      <c r="H63" s="181"/>
      <c r="I63" s="181"/>
      <c r="J63" s="181"/>
      <c r="K63" s="181"/>
      <c r="L63" s="181"/>
      <c r="M63" s="181"/>
      <c r="N63" s="181"/>
      <c r="O63" s="181"/>
      <c r="P63" s="181"/>
      <c r="Q63" s="181"/>
      <c r="R63" s="181"/>
      <c r="S63" s="181"/>
      <c r="T63" s="181"/>
      <c r="U63" s="181"/>
      <c r="V63" s="181"/>
      <c r="W63" s="181"/>
      <c r="X63" s="181"/>
      <c r="Y63" s="181"/>
      <c r="Z63" s="181"/>
      <c r="AA63" s="181"/>
      <c r="AB63" s="181"/>
      <c r="AC63" s="181"/>
      <c r="AD63" s="181"/>
      <c r="AE63" s="181"/>
      <c r="AF63" s="181"/>
      <c r="AG63" s="181"/>
      <c r="AH63" s="181"/>
      <c r="AI63" s="181"/>
      <c r="AJ63" s="181"/>
      <c r="AK63" s="181"/>
      <c r="AL63" s="181"/>
      <c r="AM63" s="181"/>
      <c r="AN63" s="181"/>
      <c r="AO63" s="181"/>
      <c r="AP63" s="181"/>
      <c r="AQ63" s="181"/>
      <c r="AR63" s="181"/>
      <c r="AS63" s="181"/>
      <c r="AT63" s="181"/>
      <c r="AU63" s="181"/>
      <c r="AV63" s="181"/>
      <c r="AW63" s="181"/>
      <c r="AX63" s="181"/>
      <c r="AY63" s="181"/>
      <c r="AZ63" s="181"/>
      <c r="BA63" s="181"/>
      <c r="BB63" s="181"/>
      <c r="BC63" s="181"/>
      <c r="BD63" s="181"/>
      <c r="BE63" s="181"/>
      <c r="BF63" s="181"/>
      <c r="BG63" s="181"/>
      <c r="BH63" s="181"/>
      <c r="BI63" s="186"/>
      <c r="BJ63" s="178"/>
      <c r="BK63" s="178"/>
      <c r="BL63" s="179"/>
      <c r="BM63" s="179"/>
      <c r="BN63" s="179"/>
      <c r="BO63" s="179"/>
      <c r="BP63" s="179"/>
      <c r="BQ63" s="179"/>
      <c r="BR63" s="179"/>
      <c r="BS63" s="179"/>
      <c r="BT63" s="179"/>
      <c r="BU63" s="179"/>
      <c r="BV63" s="179"/>
      <c r="BW63" s="179"/>
      <c r="BX63" s="179"/>
      <c r="BY63" s="179"/>
      <c r="BZ63" s="179"/>
      <c r="CA63" s="179"/>
      <c r="CB63" s="179"/>
      <c r="CC63" s="179"/>
      <c r="CD63" s="179"/>
      <c r="CE63" s="179"/>
      <c r="CF63" s="179"/>
      <c r="CG63" s="179"/>
      <c r="CH63" s="179"/>
      <c r="CI63" s="179"/>
      <c r="CJ63" s="179"/>
    </row>
    <row r="64" spans="6:88" ht="9.9499999999999993" customHeight="1" x14ac:dyDescent="0.25">
      <c r="G64" s="181"/>
      <c r="H64" s="181"/>
      <c r="I64" s="181"/>
      <c r="J64" s="181"/>
      <c r="K64" s="181"/>
      <c r="L64" s="181"/>
      <c r="M64" s="181"/>
      <c r="N64" s="181"/>
      <c r="O64" s="181"/>
      <c r="P64" s="181"/>
      <c r="Q64" s="181"/>
      <c r="R64" s="181"/>
      <c r="S64" s="181"/>
      <c r="T64" s="181"/>
      <c r="U64" s="181"/>
      <c r="V64" s="181"/>
      <c r="W64" s="181"/>
      <c r="X64" s="181"/>
      <c r="Y64" s="181"/>
      <c r="Z64" s="181"/>
      <c r="AA64" s="181"/>
      <c r="AB64" s="181"/>
      <c r="AC64" s="181"/>
      <c r="AD64" s="181"/>
      <c r="AE64" s="181"/>
      <c r="AF64" s="181"/>
      <c r="AG64" s="181"/>
      <c r="AH64" s="181"/>
      <c r="AI64" s="181"/>
      <c r="AJ64" s="181"/>
      <c r="AK64" s="181"/>
      <c r="AL64" s="181"/>
      <c r="AM64" s="181"/>
      <c r="AN64" s="181"/>
      <c r="AO64" s="181"/>
      <c r="AP64" s="181"/>
      <c r="AQ64" s="181"/>
      <c r="AR64" s="181"/>
      <c r="AS64" s="181"/>
      <c r="AT64" s="181"/>
      <c r="AU64" s="181"/>
      <c r="AV64" s="181"/>
      <c r="AW64" s="181"/>
      <c r="AX64" s="181"/>
      <c r="AY64" s="181"/>
      <c r="AZ64" s="181"/>
      <c r="BA64" s="181"/>
      <c r="BB64" s="181"/>
      <c r="BC64" s="181"/>
      <c r="BD64" s="181"/>
      <c r="BE64" s="181"/>
      <c r="BF64" s="181"/>
      <c r="BG64" s="181"/>
      <c r="BH64" s="181"/>
      <c r="BI64" s="181"/>
      <c r="BJ64" s="178"/>
      <c r="BK64" s="178"/>
      <c r="BL64" s="179"/>
      <c r="BM64" s="179"/>
      <c r="BN64" s="179"/>
      <c r="BO64" s="179"/>
      <c r="BP64" s="179"/>
      <c r="BQ64" s="179"/>
      <c r="BR64" s="179"/>
      <c r="BS64" s="179"/>
      <c r="BT64" s="179"/>
      <c r="BU64" s="179"/>
      <c r="BV64" s="179"/>
      <c r="BW64" s="179"/>
      <c r="BX64" s="179"/>
      <c r="BY64" s="179"/>
      <c r="BZ64" s="179"/>
      <c r="CA64" s="179"/>
      <c r="CB64" s="179"/>
      <c r="CC64" s="179"/>
      <c r="CD64" s="179"/>
      <c r="CE64" s="179"/>
      <c r="CF64" s="179"/>
      <c r="CG64" s="179"/>
      <c r="CH64" s="179"/>
      <c r="CI64" s="179"/>
      <c r="CJ64" s="179"/>
    </row>
    <row r="65" spans="6:88" ht="8.25" customHeight="1" x14ac:dyDescent="0.25">
      <c r="F65" s="176"/>
      <c r="H65" s="177"/>
      <c r="BI65" s="185"/>
      <c r="BJ65" s="178"/>
      <c r="BK65" s="178"/>
      <c r="BL65" s="179"/>
      <c r="BM65" s="179"/>
      <c r="BN65" s="179"/>
      <c r="BO65" s="179"/>
      <c r="BP65" s="179"/>
      <c r="BQ65" s="179"/>
      <c r="BR65" s="179"/>
      <c r="BS65" s="179"/>
      <c r="BT65" s="179"/>
      <c r="BU65" s="179"/>
      <c r="BV65" s="179"/>
      <c r="BW65" s="179"/>
      <c r="BX65" s="179"/>
      <c r="BY65" s="179"/>
      <c r="BZ65" s="179"/>
      <c r="CA65" s="179"/>
      <c r="CB65" s="179"/>
      <c r="CC65" s="179"/>
      <c r="CD65" s="179"/>
      <c r="CE65" s="179"/>
      <c r="CF65" s="179"/>
      <c r="CG65" s="179"/>
      <c r="CH65" s="179"/>
      <c r="CI65" s="179"/>
      <c r="CJ65" s="179"/>
    </row>
    <row r="66" spans="6:88" ht="6.95" customHeight="1" x14ac:dyDescent="0.25">
      <c r="F66" s="176"/>
      <c r="H66" s="272" t="s">
        <v>74</v>
      </c>
      <c r="I66" s="272"/>
      <c r="J66" s="272"/>
      <c r="K66" s="272"/>
      <c r="L66" s="272"/>
      <c r="M66" s="272"/>
      <c r="N66" s="272"/>
      <c r="O66" s="272"/>
      <c r="P66" s="272"/>
      <c r="Q66" s="272"/>
      <c r="R66" s="272"/>
      <c r="S66" s="272"/>
      <c r="T66" s="272"/>
      <c r="U66" s="272"/>
      <c r="V66" s="272"/>
      <c r="W66" s="272"/>
      <c r="X66" s="272"/>
      <c r="Y66" s="272"/>
      <c r="Z66" s="272"/>
      <c r="AA66" s="272"/>
      <c r="AB66" s="272"/>
      <c r="AC66" s="272"/>
      <c r="AD66" s="272"/>
      <c r="AE66" s="272"/>
      <c r="AF66" s="272"/>
      <c r="AG66" s="272"/>
      <c r="AH66" s="272"/>
      <c r="AI66" s="272"/>
      <c r="AJ66" s="272"/>
      <c r="AK66" s="272"/>
      <c r="AL66" s="272"/>
      <c r="AM66" s="272"/>
      <c r="AN66" s="272"/>
      <c r="AO66" s="272"/>
      <c r="AP66" s="272"/>
      <c r="AQ66" s="272"/>
      <c r="AR66" s="272"/>
      <c r="AS66" s="272"/>
      <c r="AT66" s="272"/>
      <c r="AU66" s="272"/>
      <c r="AV66" s="272"/>
      <c r="AW66" s="272"/>
      <c r="AX66" s="272"/>
      <c r="AZ66" s="276" t="str">
        <f>RPA_I_Municipal</f>
        <v>NÃO</v>
      </c>
      <c r="BA66" s="276"/>
      <c r="BB66" s="276"/>
      <c r="BC66" s="276"/>
      <c r="BD66" s="276"/>
      <c r="BE66" s="276"/>
      <c r="BF66" s="276"/>
      <c r="BG66" s="276"/>
      <c r="BH66" s="276"/>
      <c r="BI66" s="176"/>
      <c r="BJ66" s="178"/>
      <c r="BK66" s="178"/>
      <c r="BL66" s="179"/>
      <c r="BM66" s="179"/>
      <c r="BN66" s="179"/>
      <c r="BO66" s="179"/>
      <c r="BP66" s="179"/>
      <c r="BQ66" s="179"/>
      <c r="BR66" s="179"/>
      <c r="BS66" s="179"/>
      <c r="BT66" s="179"/>
      <c r="BU66" s="179"/>
      <c r="BV66" s="179"/>
      <c r="BW66" s="179"/>
      <c r="BX66" s="179"/>
      <c r="BY66" s="179"/>
      <c r="BZ66" s="179"/>
      <c r="CA66" s="179"/>
      <c r="CB66" s="179"/>
      <c r="CC66" s="179"/>
      <c r="CD66" s="179"/>
      <c r="CE66" s="179"/>
      <c r="CF66" s="179"/>
      <c r="CG66" s="179"/>
      <c r="CH66" s="179"/>
      <c r="CI66" s="179"/>
      <c r="CJ66" s="179"/>
    </row>
    <row r="67" spans="6:88" ht="6.95" customHeight="1" x14ac:dyDescent="0.25">
      <c r="F67" s="176"/>
      <c r="H67" s="273"/>
      <c r="I67" s="273"/>
      <c r="J67" s="273"/>
      <c r="K67" s="273"/>
      <c r="L67" s="273"/>
      <c r="M67" s="273"/>
      <c r="N67" s="273"/>
      <c r="O67" s="273"/>
      <c r="P67" s="273"/>
      <c r="Q67" s="273"/>
      <c r="R67" s="273"/>
      <c r="S67" s="273"/>
      <c r="T67" s="273"/>
      <c r="U67" s="273"/>
      <c r="V67" s="273"/>
      <c r="W67" s="273"/>
      <c r="X67" s="273"/>
      <c r="Y67" s="273"/>
      <c r="Z67" s="273"/>
      <c r="AA67" s="273"/>
      <c r="AB67" s="273"/>
      <c r="AC67" s="273"/>
      <c r="AD67" s="273"/>
      <c r="AE67" s="273"/>
      <c r="AF67" s="273"/>
      <c r="AG67" s="273"/>
      <c r="AH67" s="273"/>
      <c r="AI67" s="273"/>
      <c r="AJ67" s="273"/>
      <c r="AK67" s="273"/>
      <c r="AL67" s="273"/>
      <c r="AM67" s="273"/>
      <c r="AN67" s="273"/>
      <c r="AO67" s="273"/>
      <c r="AP67" s="273"/>
      <c r="AQ67" s="273"/>
      <c r="AR67" s="273"/>
      <c r="AS67" s="273"/>
      <c r="AT67" s="273"/>
      <c r="AU67" s="273"/>
      <c r="AV67" s="273"/>
      <c r="AW67" s="273"/>
      <c r="AX67" s="273"/>
      <c r="AZ67" s="277"/>
      <c r="BA67" s="277"/>
      <c r="BB67" s="277"/>
      <c r="BC67" s="277"/>
      <c r="BD67" s="277"/>
      <c r="BE67" s="277"/>
      <c r="BF67" s="277"/>
      <c r="BG67" s="277"/>
      <c r="BH67" s="277"/>
      <c r="BI67" s="176"/>
      <c r="BJ67" s="178"/>
      <c r="BK67" s="178"/>
      <c r="BL67" s="271"/>
      <c r="BM67" s="271"/>
      <c r="BN67" s="271"/>
      <c r="BO67" s="271"/>
      <c r="BP67" s="271"/>
      <c r="BQ67" s="271"/>
      <c r="BR67" s="271"/>
      <c r="BS67" s="271"/>
      <c r="BT67" s="271"/>
      <c r="BU67" s="271"/>
      <c r="BV67" s="271"/>
      <c r="BW67" s="271"/>
      <c r="BX67" s="271"/>
      <c r="BY67" s="271"/>
      <c r="BZ67" s="271"/>
      <c r="CA67" s="271"/>
      <c r="CB67" s="271"/>
      <c r="CC67" s="271"/>
      <c r="CD67" s="271"/>
      <c r="CE67" s="271"/>
      <c r="CF67" s="271"/>
      <c r="CG67" s="271"/>
      <c r="CH67" s="271"/>
      <c r="CI67" s="271"/>
      <c r="CJ67" s="271"/>
    </row>
    <row r="68" spans="6:88" ht="6.95" customHeight="1" x14ac:dyDescent="0.25">
      <c r="F68" s="176"/>
      <c r="H68" s="272" t="s">
        <v>50</v>
      </c>
      <c r="I68" s="272"/>
      <c r="J68" s="272"/>
      <c r="K68" s="272"/>
      <c r="L68" s="272"/>
      <c r="M68" s="272"/>
      <c r="N68" s="272"/>
      <c r="O68" s="272"/>
      <c r="P68" s="272"/>
      <c r="Q68" s="272"/>
      <c r="R68" s="272"/>
      <c r="S68" s="272"/>
      <c r="T68" s="272"/>
      <c r="U68" s="272"/>
      <c r="V68" s="272"/>
      <c r="W68" s="272"/>
      <c r="X68" s="272"/>
      <c r="Y68" s="272"/>
      <c r="Z68" s="272"/>
      <c r="AA68" s="272"/>
      <c r="AB68" s="272"/>
      <c r="AC68" s="272"/>
      <c r="AD68" s="272"/>
      <c r="AE68" s="272"/>
      <c r="AF68" s="272"/>
      <c r="AG68" s="272"/>
      <c r="AH68" s="272"/>
      <c r="AI68" s="272"/>
      <c r="AJ68" s="272"/>
      <c r="AK68" s="272"/>
      <c r="AL68" s="272"/>
      <c r="AM68" s="272"/>
      <c r="AN68" s="272"/>
      <c r="AO68" s="272"/>
      <c r="AP68" s="272"/>
      <c r="AQ68" s="272"/>
      <c r="AR68" s="272"/>
      <c r="AS68" s="272"/>
      <c r="AT68" s="272"/>
      <c r="AU68" s="272"/>
      <c r="AV68" s="272"/>
      <c r="AW68" s="272"/>
      <c r="AX68" s="272"/>
      <c r="AZ68" s="278">
        <f>RPA_Dependentes</f>
        <v>0</v>
      </c>
      <c r="BA68" s="278"/>
      <c r="BB68" s="278"/>
      <c r="BC68" s="278"/>
      <c r="BD68" s="278"/>
      <c r="BE68" s="278"/>
      <c r="BF68" s="278"/>
      <c r="BG68" s="278"/>
      <c r="BH68" s="278"/>
      <c r="BI68" s="176"/>
      <c r="BJ68" s="178"/>
      <c r="BK68" s="178"/>
      <c r="BL68" s="179"/>
      <c r="BM68" s="179"/>
      <c r="BN68" s="179"/>
      <c r="BO68" s="179"/>
      <c r="BP68" s="179"/>
      <c r="BQ68" s="179"/>
      <c r="BR68" s="179"/>
      <c r="BS68" s="179"/>
      <c r="BT68" s="179"/>
      <c r="BU68" s="179"/>
      <c r="BV68" s="179"/>
      <c r="BW68" s="179"/>
      <c r="BX68" s="179"/>
      <c r="BY68" s="179"/>
      <c r="BZ68" s="179"/>
      <c r="CA68" s="179"/>
      <c r="CB68" s="179"/>
      <c r="CC68" s="179"/>
      <c r="CD68" s="179"/>
      <c r="CE68" s="179"/>
      <c r="CF68" s="179"/>
      <c r="CG68" s="179"/>
      <c r="CH68" s="179"/>
      <c r="CI68" s="179"/>
      <c r="CJ68" s="179"/>
    </row>
    <row r="69" spans="6:88" ht="6.95" customHeight="1" x14ac:dyDescent="0.25">
      <c r="F69" s="176"/>
      <c r="H69" s="273"/>
      <c r="I69" s="273"/>
      <c r="J69" s="273"/>
      <c r="K69" s="273"/>
      <c r="L69" s="273"/>
      <c r="M69" s="273"/>
      <c r="N69" s="273"/>
      <c r="O69" s="273"/>
      <c r="P69" s="273"/>
      <c r="Q69" s="273"/>
      <c r="R69" s="273"/>
      <c r="S69" s="273"/>
      <c r="T69" s="273"/>
      <c r="U69" s="273"/>
      <c r="V69" s="273"/>
      <c r="W69" s="273"/>
      <c r="X69" s="273"/>
      <c r="Y69" s="273"/>
      <c r="Z69" s="273"/>
      <c r="AA69" s="273"/>
      <c r="AB69" s="273"/>
      <c r="AC69" s="273"/>
      <c r="AD69" s="273"/>
      <c r="AE69" s="273"/>
      <c r="AF69" s="273"/>
      <c r="AG69" s="273"/>
      <c r="AH69" s="273"/>
      <c r="AI69" s="273"/>
      <c r="AJ69" s="273"/>
      <c r="AK69" s="273"/>
      <c r="AL69" s="273"/>
      <c r="AM69" s="273"/>
      <c r="AN69" s="273"/>
      <c r="AO69" s="273"/>
      <c r="AP69" s="273"/>
      <c r="AQ69" s="273"/>
      <c r="AR69" s="273"/>
      <c r="AS69" s="273"/>
      <c r="AT69" s="273"/>
      <c r="AU69" s="273"/>
      <c r="AV69" s="273"/>
      <c r="AW69" s="273"/>
      <c r="AX69" s="273"/>
      <c r="AZ69" s="279"/>
      <c r="BA69" s="279"/>
      <c r="BB69" s="279"/>
      <c r="BC69" s="279"/>
      <c r="BD69" s="279"/>
      <c r="BE69" s="279"/>
      <c r="BF69" s="279"/>
      <c r="BG69" s="279"/>
      <c r="BH69" s="279"/>
      <c r="BI69" s="176"/>
      <c r="BJ69" s="178"/>
      <c r="BK69" s="178"/>
      <c r="BL69" s="179"/>
      <c r="BM69" s="179"/>
      <c r="BN69" s="179"/>
      <c r="BO69" s="179"/>
      <c r="BP69" s="179"/>
      <c r="BQ69" s="179"/>
      <c r="BR69" s="179"/>
      <c r="BS69" s="179"/>
      <c r="BT69" s="179"/>
      <c r="BU69" s="179"/>
      <c r="BV69" s="179"/>
      <c r="BW69" s="179"/>
      <c r="BX69" s="179"/>
      <c r="BY69" s="179"/>
      <c r="BZ69" s="179"/>
      <c r="CA69" s="179"/>
      <c r="CB69" s="179"/>
      <c r="CC69" s="179"/>
      <c r="CD69" s="179"/>
      <c r="CE69" s="179"/>
      <c r="CF69" s="179"/>
      <c r="CG69" s="179"/>
      <c r="CH69" s="179"/>
      <c r="CI69" s="179"/>
      <c r="CJ69" s="179"/>
    </row>
    <row r="70" spans="6:88" ht="6.95" customHeight="1" x14ac:dyDescent="0.25">
      <c r="F70" s="176"/>
      <c r="H70" s="272" t="s">
        <v>51</v>
      </c>
      <c r="I70" s="272"/>
      <c r="J70" s="272"/>
      <c r="K70" s="272"/>
      <c r="L70" s="272"/>
      <c r="M70" s="272"/>
      <c r="N70" s="272"/>
      <c r="O70" s="272"/>
      <c r="P70" s="272"/>
      <c r="Q70" s="272"/>
      <c r="R70" s="272"/>
      <c r="S70" s="272"/>
      <c r="T70" s="272"/>
      <c r="U70" s="272"/>
      <c r="V70" s="272"/>
      <c r="W70" s="272"/>
      <c r="X70" s="272"/>
      <c r="Y70" s="272"/>
      <c r="Z70" s="272"/>
      <c r="AA70" s="272"/>
      <c r="AB70" s="272"/>
      <c r="AC70" s="272"/>
      <c r="AD70" s="272"/>
      <c r="AE70" s="272"/>
      <c r="AF70" s="272"/>
      <c r="AG70" s="272"/>
      <c r="AH70" s="272"/>
      <c r="AI70" s="272"/>
      <c r="AJ70" s="272"/>
      <c r="AK70" s="272"/>
      <c r="AL70" s="272"/>
      <c r="AM70" s="272"/>
      <c r="AN70" s="272"/>
      <c r="AO70" s="272"/>
      <c r="AP70" s="272"/>
      <c r="AQ70" s="272"/>
      <c r="AR70" s="272"/>
      <c r="AS70" s="272"/>
      <c r="AT70" s="272"/>
      <c r="AU70" s="272"/>
      <c r="AV70" s="272"/>
      <c r="AW70" s="272"/>
      <c r="AX70" s="272"/>
      <c r="AZ70" s="274">
        <f>RPA_PensaoAlim</f>
        <v>0</v>
      </c>
      <c r="BA70" s="274"/>
      <c r="BB70" s="274"/>
      <c r="BC70" s="274"/>
      <c r="BD70" s="274"/>
      <c r="BE70" s="274"/>
      <c r="BF70" s="274"/>
      <c r="BG70" s="274"/>
      <c r="BH70" s="274"/>
      <c r="BI70" s="176"/>
      <c r="BJ70" s="178"/>
      <c r="BK70" s="178"/>
      <c r="BL70" s="179"/>
      <c r="BM70" s="179"/>
      <c r="BN70" s="179"/>
      <c r="BO70" s="179"/>
      <c r="BP70" s="179"/>
      <c r="BQ70" s="179"/>
      <c r="BR70" s="179"/>
      <c r="BS70" s="179"/>
      <c r="BT70" s="179"/>
      <c r="BU70" s="179"/>
      <c r="BV70" s="179"/>
      <c r="BW70" s="179"/>
      <c r="BX70" s="179"/>
      <c r="BY70" s="179"/>
      <c r="BZ70" s="179"/>
      <c r="CA70" s="179"/>
      <c r="CB70" s="179"/>
      <c r="CC70" s="179"/>
      <c r="CD70" s="179"/>
      <c r="CE70" s="179"/>
      <c r="CF70" s="179"/>
      <c r="CG70" s="179"/>
      <c r="CH70" s="179"/>
      <c r="CI70" s="179"/>
      <c r="CJ70" s="179"/>
    </row>
    <row r="71" spans="6:88" ht="6.95" customHeight="1" x14ac:dyDescent="0.25">
      <c r="F71" s="176"/>
      <c r="H71" s="273"/>
      <c r="I71" s="273"/>
      <c r="J71" s="273"/>
      <c r="K71" s="273"/>
      <c r="L71" s="273"/>
      <c r="M71" s="273"/>
      <c r="N71" s="273"/>
      <c r="O71" s="273"/>
      <c r="P71" s="273"/>
      <c r="Q71" s="273"/>
      <c r="R71" s="273"/>
      <c r="S71" s="273"/>
      <c r="T71" s="273"/>
      <c r="U71" s="273"/>
      <c r="V71" s="273"/>
      <c r="W71" s="273"/>
      <c r="X71" s="273"/>
      <c r="Y71" s="273"/>
      <c r="Z71" s="273"/>
      <c r="AA71" s="273"/>
      <c r="AB71" s="273"/>
      <c r="AC71" s="273"/>
      <c r="AD71" s="273"/>
      <c r="AE71" s="273"/>
      <c r="AF71" s="273"/>
      <c r="AG71" s="273"/>
      <c r="AH71" s="273"/>
      <c r="AI71" s="273"/>
      <c r="AJ71" s="273"/>
      <c r="AK71" s="273"/>
      <c r="AL71" s="273"/>
      <c r="AM71" s="273"/>
      <c r="AN71" s="273"/>
      <c r="AO71" s="273"/>
      <c r="AP71" s="273"/>
      <c r="AQ71" s="273"/>
      <c r="AR71" s="273"/>
      <c r="AS71" s="273"/>
      <c r="AT71" s="273"/>
      <c r="AU71" s="273"/>
      <c r="AV71" s="273"/>
      <c r="AW71" s="273"/>
      <c r="AX71" s="273"/>
      <c r="AZ71" s="275"/>
      <c r="BA71" s="275"/>
      <c r="BB71" s="275"/>
      <c r="BC71" s="275"/>
      <c r="BD71" s="275"/>
      <c r="BE71" s="275"/>
      <c r="BF71" s="275"/>
      <c r="BG71" s="275"/>
      <c r="BH71" s="275"/>
      <c r="BI71" s="176"/>
      <c r="BJ71" s="178"/>
      <c r="BK71" s="178"/>
      <c r="BL71" s="179"/>
      <c r="BM71" s="179"/>
      <c r="BN71" s="179"/>
      <c r="BO71" s="179"/>
      <c r="BP71" s="179"/>
      <c r="BQ71" s="179"/>
      <c r="BR71" s="179"/>
      <c r="BS71" s="179"/>
      <c r="BT71" s="179"/>
      <c r="BU71" s="179"/>
      <c r="BV71" s="179"/>
      <c r="BW71" s="179"/>
      <c r="BX71" s="179"/>
      <c r="BY71" s="179"/>
      <c r="BZ71" s="179"/>
      <c r="CA71" s="179"/>
      <c r="CB71" s="179"/>
      <c r="CC71" s="179"/>
      <c r="CD71" s="179"/>
      <c r="CE71" s="179"/>
      <c r="CF71" s="179"/>
      <c r="CG71" s="179"/>
      <c r="CH71" s="179"/>
      <c r="CI71" s="179"/>
      <c r="CJ71" s="179"/>
    </row>
    <row r="72" spans="6:88" ht="6.95" customHeight="1" x14ac:dyDescent="0.25">
      <c r="F72" s="176"/>
      <c r="H72" s="272" t="s">
        <v>52</v>
      </c>
      <c r="I72" s="272"/>
      <c r="J72" s="272"/>
      <c r="K72" s="272"/>
      <c r="L72" s="272"/>
      <c r="M72" s="272"/>
      <c r="N72" s="272"/>
      <c r="O72" s="272"/>
      <c r="P72" s="272"/>
      <c r="Q72" s="272"/>
      <c r="R72" s="272"/>
      <c r="S72" s="272"/>
      <c r="T72" s="272"/>
      <c r="U72" s="272"/>
      <c r="V72" s="272"/>
      <c r="W72" s="272"/>
      <c r="X72" s="272"/>
      <c r="Y72" s="272"/>
      <c r="Z72" s="272"/>
      <c r="AA72" s="272"/>
      <c r="AB72" s="272"/>
      <c r="AC72" s="272"/>
      <c r="AD72" s="272"/>
      <c r="AE72" s="272"/>
      <c r="AF72" s="272"/>
      <c r="AG72" s="272"/>
      <c r="AH72" s="272"/>
      <c r="AI72" s="272"/>
      <c r="AJ72" s="272"/>
      <c r="AK72" s="272"/>
      <c r="AL72" s="272"/>
      <c r="AM72" s="272"/>
      <c r="AN72" s="272"/>
      <c r="AO72" s="272"/>
      <c r="AP72" s="272"/>
      <c r="AQ72" s="272"/>
      <c r="AR72" s="272"/>
      <c r="AS72" s="272"/>
      <c r="AT72" s="272"/>
      <c r="AU72" s="272"/>
      <c r="AV72" s="272"/>
      <c r="AW72" s="272"/>
      <c r="AX72" s="272"/>
      <c r="AZ72" s="274">
        <f>RPA_OutrasRet</f>
        <v>0</v>
      </c>
      <c r="BA72" s="274"/>
      <c r="BB72" s="274"/>
      <c r="BC72" s="274"/>
      <c r="BD72" s="274"/>
      <c r="BE72" s="274"/>
      <c r="BF72" s="274"/>
      <c r="BG72" s="274"/>
      <c r="BH72" s="274"/>
      <c r="BI72" s="176"/>
      <c r="BJ72" s="178"/>
      <c r="BK72" s="178"/>
    </row>
    <row r="73" spans="6:88" ht="6.95" customHeight="1" x14ac:dyDescent="0.25">
      <c r="F73" s="176"/>
      <c r="H73" s="273"/>
      <c r="I73" s="273"/>
      <c r="J73" s="273"/>
      <c r="K73" s="273"/>
      <c r="L73" s="273"/>
      <c r="M73" s="273"/>
      <c r="N73" s="273"/>
      <c r="O73" s="273"/>
      <c r="P73" s="273"/>
      <c r="Q73" s="273"/>
      <c r="R73" s="273"/>
      <c r="S73" s="273"/>
      <c r="T73" s="273"/>
      <c r="U73" s="273"/>
      <c r="V73" s="273"/>
      <c r="W73" s="273"/>
      <c r="X73" s="273"/>
      <c r="Y73" s="273"/>
      <c r="Z73" s="273"/>
      <c r="AA73" s="273"/>
      <c r="AB73" s="273"/>
      <c r="AC73" s="273"/>
      <c r="AD73" s="273"/>
      <c r="AE73" s="273"/>
      <c r="AF73" s="273"/>
      <c r="AG73" s="273"/>
      <c r="AH73" s="273"/>
      <c r="AI73" s="273"/>
      <c r="AJ73" s="273"/>
      <c r="AK73" s="273"/>
      <c r="AL73" s="273"/>
      <c r="AM73" s="273"/>
      <c r="AN73" s="273"/>
      <c r="AO73" s="273"/>
      <c r="AP73" s="273"/>
      <c r="AQ73" s="273"/>
      <c r="AR73" s="273"/>
      <c r="AS73" s="273"/>
      <c r="AT73" s="273"/>
      <c r="AU73" s="273"/>
      <c r="AV73" s="273"/>
      <c r="AW73" s="273"/>
      <c r="AX73" s="273"/>
      <c r="AZ73" s="275"/>
      <c r="BA73" s="275"/>
      <c r="BB73" s="275"/>
      <c r="BC73" s="275"/>
      <c r="BD73" s="275"/>
      <c r="BE73" s="275"/>
      <c r="BF73" s="275"/>
      <c r="BG73" s="275"/>
      <c r="BH73" s="275"/>
      <c r="BI73" s="176"/>
    </row>
    <row r="74" spans="6:88" ht="6.95" customHeight="1" x14ac:dyDescent="0.25">
      <c r="F74" s="176"/>
      <c r="H74" s="272" t="s">
        <v>53</v>
      </c>
      <c r="I74" s="272"/>
      <c r="J74" s="272"/>
      <c r="K74" s="272"/>
      <c r="L74" s="272"/>
      <c r="M74" s="272"/>
      <c r="N74" s="272"/>
      <c r="O74" s="272"/>
      <c r="P74" s="272"/>
      <c r="Q74" s="272"/>
      <c r="R74" s="272"/>
      <c r="S74" s="272"/>
      <c r="T74" s="272"/>
      <c r="U74" s="272"/>
      <c r="V74" s="272"/>
      <c r="W74" s="272"/>
      <c r="X74" s="272"/>
      <c r="Y74" s="272"/>
      <c r="Z74" s="272"/>
      <c r="AA74" s="272"/>
      <c r="AB74" s="272"/>
      <c r="AC74" s="272"/>
      <c r="AD74" s="272"/>
      <c r="AE74" s="272"/>
      <c r="AF74" s="272"/>
      <c r="AG74" s="272"/>
      <c r="AH74" s="272"/>
      <c r="AI74" s="272"/>
      <c r="AJ74" s="272"/>
      <c r="AK74" s="272"/>
      <c r="AL74" s="272"/>
      <c r="AM74" s="272"/>
      <c r="AN74" s="272"/>
      <c r="AO74" s="272"/>
      <c r="AP74" s="272"/>
      <c r="AQ74" s="272"/>
      <c r="AR74" s="272"/>
      <c r="AS74" s="272"/>
      <c r="AT74" s="272"/>
      <c r="AU74" s="272"/>
      <c r="AV74" s="272"/>
      <c r="AW74" s="272"/>
      <c r="AX74" s="272"/>
      <c r="AZ74" s="274">
        <f>RPA_VlrOutrosServ</f>
        <v>0</v>
      </c>
      <c r="BA74" s="274"/>
      <c r="BB74" s="274"/>
      <c r="BC74" s="274"/>
      <c r="BD74" s="274"/>
      <c r="BE74" s="274"/>
      <c r="BF74" s="274"/>
      <c r="BG74" s="274"/>
      <c r="BH74" s="274"/>
      <c r="BI74" s="176"/>
      <c r="BJ74" s="178"/>
      <c r="BK74" s="178"/>
      <c r="BL74" s="179"/>
      <c r="BM74" s="179"/>
      <c r="BN74" s="179"/>
      <c r="BO74" s="179"/>
      <c r="BP74" s="179"/>
      <c r="BQ74" s="179"/>
      <c r="BR74" s="179"/>
      <c r="BS74" s="179"/>
      <c r="BT74" s="179"/>
      <c r="BU74" s="179"/>
      <c r="BV74" s="179"/>
      <c r="BW74" s="179"/>
      <c r="BX74" s="179"/>
      <c r="BY74" s="179"/>
      <c r="BZ74" s="179"/>
      <c r="CA74" s="179"/>
      <c r="CB74" s="179"/>
      <c r="CC74" s="179"/>
      <c r="CD74" s="179"/>
      <c r="CE74" s="179"/>
      <c r="CF74" s="179"/>
      <c r="CG74" s="179"/>
      <c r="CH74" s="179"/>
      <c r="CI74" s="179"/>
      <c r="CJ74" s="179"/>
    </row>
    <row r="75" spans="6:88" ht="6.95" customHeight="1" x14ac:dyDescent="0.25">
      <c r="F75" s="176"/>
      <c r="H75" s="273"/>
      <c r="I75" s="273"/>
      <c r="J75" s="273"/>
      <c r="K75" s="273"/>
      <c r="L75" s="273"/>
      <c r="M75" s="273"/>
      <c r="N75" s="273"/>
      <c r="O75" s="273"/>
      <c r="P75" s="273"/>
      <c r="Q75" s="273"/>
      <c r="R75" s="273"/>
      <c r="S75" s="273"/>
      <c r="T75" s="273"/>
      <c r="U75" s="273"/>
      <c r="V75" s="273"/>
      <c r="W75" s="273"/>
      <c r="X75" s="273"/>
      <c r="Y75" s="273"/>
      <c r="Z75" s="273"/>
      <c r="AA75" s="273"/>
      <c r="AB75" s="273"/>
      <c r="AC75" s="273"/>
      <c r="AD75" s="273"/>
      <c r="AE75" s="273"/>
      <c r="AF75" s="273"/>
      <c r="AG75" s="273"/>
      <c r="AH75" s="273"/>
      <c r="AI75" s="273"/>
      <c r="AJ75" s="273"/>
      <c r="AK75" s="273"/>
      <c r="AL75" s="273"/>
      <c r="AM75" s="273"/>
      <c r="AN75" s="273"/>
      <c r="AO75" s="273"/>
      <c r="AP75" s="273"/>
      <c r="AQ75" s="273"/>
      <c r="AR75" s="273"/>
      <c r="AS75" s="273"/>
      <c r="AT75" s="273"/>
      <c r="AU75" s="273"/>
      <c r="AV75" s="273"/>
      <c r="AW75" s="273"/>
      <c r="AX75" s="273"/>
      <c r="AZ75" s="275"/>
      <c r="BA75" s="275"/>
      <c r="BB75" s="275"/>
      <c r="BC75" s="275"/>
      <c r="BD75" s="275"/>
      <c r="BE75" s="275"/>
      <c r="BF75" s="275"/>
      <c r="BG75" s="275"/>
      <c r="BH75" s="275"/>
      <c r="BI75" s="176"/>
      <c r="BJ75" s="178"/>
      <c r="BK75" s="178"/>
      <c r="BL75" s="179"/>
      <c r="BM75" s="179"/>
      <c r="BN75" s="179"/>
      <c r="BO75" s="179"/>
      <c r="BP75" s="179"/>
      <c r="BQ75" s="179"/>
      <c r="BR75" s="179"/>
      <c r="BS75" s="179"/>
      <c r="BT75" s="179"/>
      <c r="BU75" s="179"/>
      <c r="BV75" s="179"/>
      <c r="BW75" s="179"/>
      <c r="BX75" s="179"/>
      <c r="BY75" s="179"/>
      <c r="BZ75" s="179"/>
      <c r="CA75" s="179"/>
      <c r="CB75" s="179"/>
      <c r="CC75" s="179"/>
      <c r="CD75" s="179"/>
      <c r="CE75" s="179"/>
      <c r="CF75" s="179"/>
      <c r="CG75" s="179"/>
      <c r="CH75" s="179"/>
      <c r="CI75" s="179"/>
      <c r="CJ75" s="179"/>
    </row>
    <row r="76" spans="6:88" ht="6.95" customHeight="1" x14ac:dyDescent="0.25">
      <c r="F76" s="176"/>
      <c r="H76" s="272" t="s">
        <v>55</v>
      </c>
      <c r="I76" s="272"/>
      <c r="J76" s="272"/>
      <c r="K76" s="272"/>
      <c r="L76" s="272"/>
      <c r="M76" s="272"/>
      <c r="N76" s="272"/>
      <c r="O76" s="272"/>
      <c r="P76" s="272"/>
      <c r="Q76" s="272"/>
      <c r="R76" s="272"/>
      <c r="S76" s="272"/>
      <c r="T76" s="272"/>
      <c r="U76" s="272"/>
      <c r="V76" s="272"/>
      <c r="W76" s="272"/>
      <c r="X76" s="272"/>
      <c r="Y76" s="272"/>
      <c r="Z76" s="272"/>
      <c r="AA76" s="272"/>
      <c r="AB76" s="272"/>
      <c r="AC76" s="272"/>
      <c r="AD76" s="272"/>
      <c r="AE76" s="272"/>
      <c r="AF76" s="272"/>
      <c r="AG76" s="272"/>
      <c r="AH76" s="272"/>
      <c r="AI76" s="272"/>
      <c r="AJ76" s="272"/>
      <c r="AK76" s="272"/>
      <c r="AL76" s="272"/>
      <c r="AM76" s="272"/>
      <c r="AN76" s="272"/>
      <c r="AO76" s="272"/>
      <c r="AP76" s="272"/>
      <c r="AQ76" s="272"/>
      <c r="AR76" s="272"/>
      <c r="AS76" s="272"/>
      <c r="AT76" s="272"/>
      <c r="AU76" s="272"/>
      <c r="AV76" s="272"/>
      <c r="AW76" s="272"/>
      <c r="AX76" s="272"/>
      <c r="AZ76" s="274">
        <f>RPA_IRRFOutrosServ</f>
        <v>0</v>
      </c>
      <c r="BA76" s="274"/>
      <c r="BB76" s="274"/>
      <c r="BC76" s="274"/>
      <c r="BD76" s="274"/>
      <c r="BE76" s="274"/>
      <c r="BF76" s="274"/>
      <c r="BG76" s="274"/>
      <c r="BH76" s="274"/>
      <c r="BI76" s="176"/>
      <c r="BJ76" s="178"/>
      <c r="BK76" s="178"/>
      <c r="BL76" s="179"/>
      <c r="BM76" s="179"/>
      <c r="BN76" s="179"/>
      <c r="BO76" s="179"/>
      <c r="BP76" s="179"/>
      <c r="BQ76" s="179"/>
      <c r="BR76" s="179"/>
      <c r="BS76" s="179"/>
      <c r="BT76" s="179"/>
      <c r="BU76" s="179"/>
      <c r="BV76" s="179"/>
      <c r="BW76" s="179"/>
      <c r="BX76" s="179"/>
      <c r="BY76" s="179"/>
      <c r="BZ76" s="179"/>
      <c r="CA76" s="179"/>
      <c r="CB76" s="179"/>
      <c r="CC76" s="179"/>
      <c r="CD76" s="179"/>
      <c r="CE76" s="179"/>
      <c r="CF76" s="179"/>
      <c r="CG76" s="179"/>
      <c r="CH76" s="179"/>
      <c r="CI76" s="179"/>
      <c r="CJ76" s="179"/>
    </row>
    <row r="77" spans="6:88" ht="6.95" customHeight="1" x14ac:dyDescent="0.25">
      <c r="F77" s="176"/>
      <c r="H77" s="273"/>
      <c r="I77" s="273"/>
      <c r="J77" s="273"/>
      <c r="K77" s="273"/>
      <c r="L77" s="273"/>
      <c r="M77" s="273"/>
      <c r="N77" s="273"/>
      <c r="O77" s="273"/>
      <c r="P77" s="273"/>
      <c r="Q77" s="273"/>
      <c r="R77" s="273"/>
      <c r="S77" s="273"/>
      <c r="T77" s="273"/>
      <c r="U77" s="273"/>
      <c r="V77" s="273"/>
      <c r="W77" s="273"/>
      <c r="X77" s="273"/>
      <c r="Y77" s="273"/>
      <c r="Z77" s="273"/>
      <c r="AA77" s="273"/>
      <c r="AB77" s="273"/>
      <c r="AC77" s="273"/>
      <c r="AD77" s="273"/>
      <c r="AE77" s="273"/>
      <c r="AF77" s="273"/>
      <c r="AG77" s="273"/>
      <c r="AH77" s="273"/>
      <c r="AI77" s="273"/>
      <c r="AJ77" s="273"/>
      <c r="AK77" s="273"/>
      <c r="AL77" s="273"/>
      <c r="AM77" s="273"/>
      <c r="AN77" s="273"/>
      <c r="AO77" s="273"/>
      <c r="AP77" s="273"/>
      <c r="AQ77" s="273"/>
      <c r="AR77" s="273"/>
      <c r="AS77" s="273"/>
      <c r="AT77" s="273"/>
      <c r="AU77" s="273"/>
      <c r="AV77" s="273"/>
      <c r="AW77" s="273"/>
      <c r="AX77" s="273"/>
      <c r="AZ77" s="275"/>
      <c r="BA77" s="275"/>
      <c r="BB77" s="275"/>
      <c r="BC77" s="275"/>
      <c r="BD77" s="275"/>
      <c r="BE77" s="275"/>
      <c r="BF77" s="275"/>
      <c r="BG77" s="275"/>
      <c r="BH77" s="275"/>
      <c r="BI77" s="176"/>
      <c r="BJ77" s="178"/>
      <c r="BK77" s="178"/>
      <c r="BL77" s="179"/>
      <c r="BM77" s="179"/>
      <c r="BN77" s="179"/>
      <c r="BO77" s="179"/>
      <c r="BP77" s="179"/>
      <c r="BQ77" s="179"/>
      <c r="BR77" s="179"/>
      <c r="BS77" s="179"/>
      <c r="BT77" s="179"/>
      <c r="BU77" s="179"/>
      <c r="BV77" s="179"/>
      <c r="BW77" s="179"/>
      <c r="BX77" s="179"/>
      <c r="BY77" s="179"/>
      <c r="BZ77" s="179"/>
      <c r="CA77" s="179"/>
      <c r="CB77" s="179"/>
      <c r="CC77" s="179"/>
      <c r="CD77" s="179"/>
      <c r="CE77" s="179"/>
      <c r="CF77" s="179"/>
      <c r="CG77" s="179"/>
      <c r="CH77" s="179"/>
      <c r="CI77" s="179"/>
      <c r="CJ77" s="179"/>
    </row>
    <row r="78" spans="6:88" ht="6.95" customHeight="1" x14ac:dyDescent="0.25">
      <c r="F78" s="176"/>
      <c r="H78" s="272" t="s">
        <v>54</v>
      </c>
      <c r="I78" s="272"/>
      <c r="J78" s="272"/>
      <c r="K78" s="272"/>
      <c r="L78" s="272"/>
      <c r="M78" s="272"/>
      <c r="N78" s="272"/>
      <c r="O78" s="272"/>
      <c r="P78" s="272"/>
      <c r="Q78" s="272"/>
      <c r="R78" s="272"/>
      <c r="S78" s="272"/>
      <c r="T78" s="272"/>
      <c r="U78" s="272"/>
      <c r="V78" s="272"/>
      <c r="W78" s="272"/>
      <c r="X78" s="272"/>
      <c r="Y78" s="272"/>
      <c r="Z78" s="272"/>
      <c r="AA78" s="272"/>
      <c r="AB78" s="272"/>
      <c r="AC78" s="272"/>
      <c r="AD78" s="272"/>
      <c r="AE78" s="272"/>
      <c r="AF78" s="272"/>
      <c r="AG78" s="272"/>
      <c r="AH78" s="272"/>
      <c r="AI78" s="272"/>
      <c r="AJ78" s="272"/>
      <c r="AK78" s="272"/>
      <c r="AL78" s="272"/>
      <c r="AM78" s="272"/>
      <c r="AN78" s="272"/>
      <c r="AO78" s="272"/>
      <c r="AP78" s="272"/>
      <c r="AQ78" s="272"/>
      <c r="AR78" s="272"/>
      <c r="AS78" s="272"/>
      <c r="AT78" s="272"/>
      <c r="AU78" s="272"/>
      <c r="AV78" s="272"/>
      <c r="AW78" s="272"/>
      <c r="AX78" s="272"/>
      <c r="AZ78" s="274">
        <f>RPA_INSSOutrosServ</f>
        <v>0</v>
      </c>
      <c r="BA78" s="274"/>
      <c r="BB78" s="274"/>
      <c r="BC78" s="274"/>
      <c r="BD78" s="274"/>
      <c r="BE78" s="274"/>
      <c r="BF78" s="274"/>
      <c r="BG78" s="274"/>
      <c r="BH78" s="274"/>
      <c r="BI78" s="176"/>
      <c r="BJ78" s="178"/>
      <c r="BK78" s="178"/>
      <c r="BL78" s="179"/>
      <c r="BM78" s="179"/>
      <c r="BN78" s="179"/>
      <c r="BO78" s="179"/>
      <c r="BP78" s="179"/>
      <c r="BQ78" s="179"/>
      <c r="BR78" s="179"/>
      <c r="BS78" s="179"/>
      <c r="BT78" s="179"/>
      <c r="BU78" s="179"/>
      <c r="BV78" s="179"/>
      <c r="BW78" s="179"/>
      <c r="BX78" s="179"/>
      <c r="BY78" s="179"/>
      <c r="BZ78" s="179"/>
      <c r="CA78" s="179"/>
      <c r="CB78" s="179"/>
      <c r="CC78" s="179"/>
      <c r="CD78" s="179"/>
      <c r="CE78" s="179"/>
      <c r="CF78" s="179"/>
      <c r="CG78" s="179"/>
      <c r="CH78" s="179"/>
      <c r="CI78" s="179"/>
      <c r="CJ78" s="179"/>
    </row>
    <row r="79" spans="6:88" ht="6.95" customHeight="1" x14ac:dyDescent="0.25">
      <c r="F79" s="176"/>
      <c r="H79" s="273"/>
      <c r="I79" s="273"/>
      <c r="J79" s="273"/>
      <c r="K79" s="273"/>
      <c r="L79" s="273"/>
      <c r="M79" s="273"/>
      <c r="N79" s="273"/>
      <c r="O79" s="273"/>
      <c r="P79" s="273"/>
      <c r="Q79" s="273"/>
      <c r="R79" s="273"/>
      <c r="S79" s="273"/>
      <c r="T79" s="273"/>
      <c r="U79" s="273"/>
      <c r="V79" s="273"/>
      <c r="W79" s="273"/>
      <c r="X79" s="273"/>
      <c r="Y79" s="273"/>
      <c r="Z79" s="273"/>
      <c r="AA79" s="273"/>
      <c r="AB79" s="273"/>
      <c r="AC79" s="273"/>
      <c r="AD79" s="273"/>
      <c r="AE79" s="273"/>
      <c r="AF79" s="273"/>
      <c r="AG79" s="273"/>
      <c r="AH79" s="273"/>
      <c r="AI79" s="273"/>
      <c r="AJ79" s="273"/>
      <c r="AK79" s="273"/>
      <c r="AL79" s="273"/>
      <c r="AM79" s="273"/>
      <c r="AN79" s="273"/>
      <c r="AO79" s="273"/>
      <c r="AP79" s="273"/>
      <c r="AQ79" s="273"/>
      <c r="AR79" s="273"/>
      <c r="AS79" s="273"/>
      <c r="AT79" s="273"/>
      <c r="AU79" s="273"/>
      <c r="AV79" s="273"/>
      <c r="AW79" s="273"/>
      <c r="AX79" s="273"/>
      <c r="AZ79" s="275"/>
      <c r="BA79" s="275"/>
      <c r="BB79" s="275"/>
      <c r="BC79" s="275"/>
      <c r="BD79" s="275"/>
      <c r="BE79" s="275"/>
      <c r="BF79" s="275"/>
      <c r="BG79" s="275"/>
      <c r="BH79" s="275"/>
      <c r="BI79" s="176"/>
      <c r="BJ79" s="178"/>
      <c r="BK79" s="178"/>
      <c r="BL79" s="179"/>
      <c r="BM79" s="179"/>
      <c r="BN79" s="179"/>
      <c r="BO79" s="179"/>
      <c r="BP79" s="179"/>
      <c r="BQ79" s="179"/>
      <c r="BR79" s="179"/>
      <c r="BS79" s="179"/>
      <c r="BT79" s="179"/>
      <c r="BU79" s="179"/>
      <c r="BV79" s="179"/>
      <c r="BW79" s="179"/>
      <c r="BX79" s="179"/>
      <c r="BY79" s="179"/>
      <c r="BZ79" s="179"/>
      <c r="CA79" s="179"/>
      <c r="CB79" s="179"/>
      <c r="CC79" s="179"/>
      <c r="CD79" s="179"/>
      <c r="CE79" s="179"/>
      <c r="CF79" s="179"/>
      <c r="CG79" s="179"/>
      <c r="CH79" s="179"/>
      <c r="CI79" s="179"/>
      <c r="CJ79" s="179"/>
    </row>
    <row r="80" spans="6:88" ht="3" customHeight="1" x14ac:dyDescent="0.25">
      <c r="F80" s="176"/>
      <c r="G80" s="181"/>
      <c r="H80" s="182"/>
      <c r="I80" s="181"/>
      <c r="J80" s="181"/>
      <c r="K80" s="181"/>
      <c r="L80" s="181"/>
      <c r="M80" s="181"/>
      <c r="N80" s="181"/>
      <c r="O80" s="181"/>
      <c r="P80" s="181"/>
      <c r="Q80" s="181"/>
      <c r="R80" s="181"/>
      <c r="S80" s="181"/>
      <c r="T80" s="181"/>
      <c r="U80" s="181"/>
      <c r="V80" s="181"/>
      <c r="W80" s="181"/>
      <c r="X80" s="181"/>
      <c r="Y80" s="181"/>
      <c r="Z80" s="181"/>
      <c r="AA80" s="181"/>
      <c r="AB80" s="181"/>
      <c r="AC80" s="181"/>
      <c r="AD80" s="181"/>
      <c r="AE80" s="181"/>
      <c r="AF80" s="181"/>
      <c r="AG80" s="181"/>
      <c r="AH80" s="181"/>
      <c r="AI80" s="181"/>
      <c r="AJ80" s="181"/>
      <c r="AK80" s="181"/>
      <c r="AL80" s="181"/>
      <c r="AM80" s="181"/>
      <c r="AN80" s="181"/>
      <c r="AO80" s="181"/>
      <c r="AP80" s="181"/>
      <c r="AQ80" s="181"/>
      <c r="AR80" s="181"/>
      <c r="AS80" s="181"/>
      <c r="AT80" s="181"/>
      <c r="AU80" s="181"/>
      <c r="AV80" s="181"/>
      <c r="AW80" s="181"/>
      <c r="AX80" s="181"/>
      <c r="AY80" s="181"/>
      <c r="AZ80" s="181"/>
      <c r="BA80" s="181"/>
      <c r="BB80" s="181"/>
      <c r="BC80" s="181"/>
      <c r="BD80" s="181"/>
      <c r="BE80" s="181"/>
      <c r="BF80" s="181"/>
      <c r="BG80" s="181"/>
      <c r="BH80" s="181"/>
      <c r="BI80" s="186"/>
    </row>
    <row r="81" spans="6:86" ht="9.9499999999999993" customHeight="1" x14ac:dyDescent="0.25">
      <c r="G81" s="181"/>
      <c r="H81" s="181"/>
      <c r="I81" s="181"/>
      <c r="J81" s="181"/>
      <c r="K81" s="181"/>
      <c r="L81" s="181"/>
      <c r="M81" s="181"/>
      <c r="N81" s="181"/>
      <c r="O81" s="181"/>
      <c r="P81" s="181"/>
      <c r="Q81" s="181"/>
      <c r="R81" s="181"/>
      <c r="S81" s="181"/>
      <c r="T81" s="181"/>
      <c r="U81" s="181"/>
      <c r="V81" s="181"/>
      <c r="W81" s="181"/>
      <c r="X81" s="181"/>
      <c r="Y81" s="181"/>
      <c r="Z81" s="181"/>
      <c r="AA81" s="181"/>
      <c r="AB81" s="181"/>
      <c r="AC81" s="181"/>
      <c r="AD81" s="181"/>
      <c r="AE81" s="181"/>
      <c r="AF81" s="181"/>
      <c r="AG81" s="181"/>
      <c r="AH81" s="181"/>
      <c r="AI81" s="181"/>
      <c r="AJ81" s="181"/>
      <c r="AK81" s="181"/>
      <c r="AL81" s="181"/>
      <c r="AM81" s="181"/>
      <c r="AN81" s="181"/>
      <c r="AO81" s="181"/>
      <c r="AP81" s="181"/>
      <c r="AQ81" s="181"/>
      <c r="AR81" s="181"/>
      <c r="AS81" s="181"/>
      <c r="AT81" s="181"/>
      <c r="AU81" s="181"/>
      <c r="AV81" s="181"/>
      <c r="AW81" s="181"/>
      <c r="AX81" s="181"/>
      <c r="AY81" s="181"/>
      <c r="AZ81" s="181"/>
      <c r="BA81" s="181"/>
      <c r="BB81" s="181"/>
      <c r="BC81" s="181"/>
      <c r="BD81" s="181"/>
      <c r="BE81" s="181"/>
      <c r="BF81" s="181"/>
      <c r="BG81" s="181"/>
      <c r="BH81" s="181"/>
      <c r="BI81" s="181"/>
    </row>
    <row r="82" spans="6:86" ht="6.75" customHeight="1" x14ac:dyDescent="0.25">
      <c r="F82" s="176"/>
      <c r="BI82" s="176"/>
    </row>
    <row r="83" spans="6:86" ht="13.5" customHeight="1" x14ac:dyDescent="0.25">
      <c r="F83" s="176"/>
      <c r="H83" s="284" t="s">
        <v>22</v>
      </c>
      <c r="I83" s="284"/>
      <c r="J83" s="284"/>
      <c r="K83" s="284"/>
      <c r="L83" s="284"/>
      <c r="M83" s="284"/>
      <c r="N83" s="284"/>
      <c r="O83" s="284"/>
      <c r="P83" s="284"/>
      <c r="Q83" s="284"/>
      <c r="R83" s="284"/>
      <c r="S83" s="284"/>
      <c r="T83" s="284"/>
      <c r="U83" s="284"/>
      <c r="V83" s="284"/>
      <c r="W83" s="284"/>
      <c r="X83" s="284"/>
      <c r="Y83" s="284"/>
      <c r="Z83" s="284"/>
      <c r="AA83" s="284"/>
      <c r="AB83" s="284"/>
      <c r="AC83" s="284"/>
      <c r="AD83" s="284"/>
      <c r="AE83" s="284"/>
      <c r="AF83" s="284"/>
      <c r="AG83" s="284"/>
      <c r="AH83" s="284"/>
      <c r="AI83" s="284"/>
      <c r="AJ83" s="284"/>
      <c r="AK83" s="284"/>
      <c r="AL83" s="284"/>
      <c r="AM83" s="284"/>
      <c r="AN83" s="284"/>
      <c r="AO83" s="284"/>
      <c r="AP83" s="284"/>
      <c r="AQ83" s="284"/>
      <c r="AR83" s="284"/>
      <c r="AS83" s="284"/>
      <c r="AT83" s="284"/>
      <c r="AU83" s="284"/>
      <c r="AV83" s="284"/>
      <c r="AW83" s="284"/>
      <c r="AX83" s="284"/>
      <c r="AY83" s="178"/>
      <c r="AZ83" s="274">
        <f>RPA_Valor</f>
        <v>10000</v>
      </c>
      <c r="BA83" s="274"/>
      <c r="BB83" s="274"/>
      <c r="BC83" s="274"/>
      <c r="BD83" s="274"/>
      <c r="BE83" s="274"/>
      <c r="BF83" s="274"/>
      <c r="BG83" s="274"/>
      <c r="BH83" s="274"/>
      <c r="BI83" s="176"/>
    </row>
    <row r="84" spans="6:86" ht="13.5" customHeight="1" x14ac:dyDescent="0.25">
      <c r="F84" s="176"/>
      <c r="H84" s="280" t="s">
        <v>47</v>
      </c>
      <c r="I84" s="280"/>
      <c r="J84" s="280"/>
      <c r="K84" s="280"/>
      <c r="L84" s="280"/>
      <c r="M84" s="280"/>
      <c r="N84" s="280"/>
      <c r="O84" s="280"/>
      <c r="P84" s="280"/>
      <c r="Q84" s="280"/>
      <c r="R84" s="280"/>
      <c r="S84" s="280"/>
      <c r="T84" s="280"/>
      <c r="U84" s="280"/>
      <c r="V84" s="280"/>
      <c r="W84" s="280"/>
      <c r="X84" s="280"/>
      <c r="Y84" s="280"/>
      <c r="Z84" s="280"/>
      <c r="AA84" s="280"/>
      <c r="AB84" s="280"/>
      <c r="AC84" s="280"/>
      <c r="AD84" s="280"/>
      <c r="AE84" s="280"/>
      <c r="AF84" s="280"/>
      <c r="AG84" s="280"/>
      <c r="AH84" s="280"/>
      <c r="AI84" s="280"/>
      <c r="AJ84" s="280"/>
      <c r="AK84" s="280"/>
      <c r="AL84" s="280"/>
      <c r="AM84" s="280"/>
      <c r="AN84" s="280"/>
      <c r="AO84" s="280"/>
      <c r="AP84" s="280"/>
      <c r="AQ84" s="280"/>
      <c r="AR84" s="280"/>
      <c r="AS84" s="280"/>
      <c r="AT84" s="280"/>
      <c r="AU84" s="280"/>
      <c r="AV84" s="280"/>
      <c r="AW84" s="280"/>
      <c r="AX84" s="280"/>
      <c r="AY84" s="178"/>
      <c r="AZ84" s="274">
        <f>RPA_INSS</f>
        <v>-180</v>
      </c>
      <c r="BA84" s="274"/>
      <c r="BB84" s="274"/>
      <c r="BC84" s="274"/>
      <c r="BD84" s="274"/>
      <c r="BE84" s="274"/>
      <c r="BF84" s="274"/>
      <c r="BG84" s="274"/>
      <c r="BH84" s="274"/>
      <c r="BI84" s="176"/>
    </row>
    <row r="85" spans="6:86" ht="13.5" customHeight="1" x14ac:dyDescent="0.25">
      <c r="F85" s="176"/>
      <c r="H85" s="280" t="s">
        <v>12</v>
      </c>
      <c r="I85" s="280"/>
      <c r="J85" s="280"/>
      <c r="K85" s="280"/>
      <c r="L85" s="280"/>
      <c r="M85" s="280"/>
      <c r="N85" s="280"/>
      <c r="O85" s="280"/>
      <c r="P85" s="280"/>
      <c r="Q85" s="280"/>
      <c r="R85" s="280"/>
      <c r="S85" s="280"/>
      <c r="T85" s="280"/>
      <c r="U85" s="280"/>
      <c r="V85" s="280"/>
      <c r="W85" s="280"/>
      <c r="X85" s="280"/>
      <c r="Y85" s="280"/>
      <c r="Z85" s="280"/>
      <c r="AA85" s="280"/>
      <c r="AB85" s="280"/>
      <c r="AC85" s="280"/>
      <c r="AD85" s="280"/>
      <c r="AE85" s="280"/>
      <c r="AF85" s="280"/>
      <c r="AG85" s="280"/>
      <c r="AH85" s="280"/>
      <c r="AI85" s="280"/>
      <c r="AJ85" s="280"/>
      <c r="AK85" s="280"/>
      <c r="AL85" s="280"/>
      <c r="AM85" s="280"/>
      <c r="AN85" s="280"/>
      <c r="AO85" s="280"/>
      <c r="AP85" s="280"/>
      <c r="AQ85" s="280"/>
      <c r="AR85" s="280"/>
      <c r="AS85" s="280"/>
      <c r="AT85" s="280"/>
      <c r="AU85" s="280"/>
      <c r="AV85" s="280"/>
      <c r="AW85" s="280"/>
      <c r="AX85" s="280"/>
      <c r="AY85" s="178"/>
      <c r="AZ85" s="274">
        <f>RPA_RetencaoIR</f>
        <v>0</v>
      </c>
      <c r="BA85" s="274"/>
      <c r="BB85" s="274"/>
      <c r="BC85" s="274"/>
      <c r="BD85" s="274"/>
      <c r="BE85" s="274"/>
      <c r="BF85" s="274"/>
      <c r="BG85" s="274"/>
      <c r="BH85" s="274"/>
      <c r="BI85" s="176"/>
    </row>
    <row r="86" spans="6:86" ht="13.5" customHeight="1" x14ac:dyDescent="0.25">
      <c r="F86" s="176"/>
      <c r="H86" s="280" t="s">
        <v>104</v>
      </c>
      <c r="I86" s="280"/>
      <c r="J86" s="280"/>
      <c r="K86" s="280"/>
      <c r="L86" s="280"/>
      <c r="M86" s="280"/>
      <c r="N86" s="280"/>
      <c r="O86" s="280"/>
      <c r="P86" s="280"/>
      <c r="Q86" s="280"/>
      <c r="R86" s="280"/>
      <c r="S86" s="280"/>
      <c r="T86" s="280"/>
      <c r="U86" s="280"/>
      <c r="V86" s="280"/>
      <c r="W86" s="280"/>
      <c r="X86" s="280"/>
      <c r="Y86" s="280"/>
      <c r="Z86" s="280"/>
      <c r="AA86" s="280"/>
      <c r="AB86" s="280"/>
      <c r="AC86" s="280"/>
      <c r="AD86" s="280"/>
      <c r="AE86" s="280"/>
      <c r="AF86" s="280"/>
      <c r="AG86" s="280"/>
      <c r="AH86" s="280"/>
      <c r="AI86" s="280"/>
      <c r="AJ86" s="280"/>
      <c r="AK86" s="280"/>
      <c r="AL86" s="280"/>
      <c r="AM86" s="280"/>
      <c r="AN86" s="280"/>
      <c r="AO86" s="280"/>
      <c r="AP86" s="280"/>
      <c r="AQ86" s="280"/>
      <c r="AR86" s="280"/>
      <c r="AS86" s="280"/>
      <c r="AT86" s="280"/>
      <c r="AU86" s="280"/>
      <c r="AV86" s="280"/>
      <c r="AW86" s="280"/>
      <c r="AX86" s="280"/>
      <c r="AY86" s="178"/>
      <c r="AZ86" s="274">
        <f>RPA_RetencaoSEST</f>
        <v>-50</v>
      </c>
      <c r="BA86" s="274"/>
      <c r="BB86" s="274"/>
      <c r="BC86" s="274"/>
      <c r="BD86" s="274"/>
      <c r="BE86" s="274"/>
      <c r="BF86" s="274"/>
      <c r="BG86" s="274"/>
      <c r="BH86" s="274"/>
      <c r="BI86" s="176"/>
    </row>
    <row r="87" spans="6:86" ht="13.5" customHeight="1" x14ac:dyDescent="0.25">
      <c r="F87" s="176"/>
      <c r="H87" s="280" t="s">
        <v>5</v>
      </c>
      <c r="I87" s="280"/>
      <c r="J87" s="280"/>
      <c r="K87" s="280"/>
      <c r="L87" s="280"/>
      <c r="M87" s="280"/>
      <c r="N87" s="280"/>
      <c r="O87" s="280"/>
      <c r="P87" s="280"/>
      <c r="Q87" s="280"/>
      <c r="R87" s="280"/>
      <c r="S87" s="280"/>
      <c r="T87" s="280"/>
      <c r="U87" s="280"/>
      <c r="V87" s="280"/>
      <c r="W87" s="280"/>
      <c r="X87" s="280"/>
      <c r="Y87" s="280"/>
      <c r="Z87" s="280"/>
      <c r="AA87" s="280"/>
      <c r="AB87" s="280"/>
      <c r="AC87" s="280"/>
      <c r="AD87" s="280"/>
      <c r="AE87" s="280"/>
      <c r="AF87" s="280"/>
      <c r="AG87" s="280"/>
      <c r="AH87" s="280"/>
      <c r="AI87" s="280"/>
      <c r="AJ87" s="280"/>
      <c r="AK87" s="280"/>
      <c r="AL87" s="280"/>
      <c r="AM87" s="280"/>
      <c r="AN87" s="280"/>
      <c r="AO87" s="280"/>
      <c r="AP87" s="280"/>
      <c r="AQ87" s="280"/>
      <c r="AR87" s="280"/>
      <c r="AS87" s="280"/>
      <c r="AT87" s="280"/>
      <c r="AU87" s="292">
        <f>RPA_AliquotaISS</f>
        <v>0.05</v>
      </c>
      <c r="AV87" s="293"/>
      <c r="AW87" s="293"/>
      <c r="AX87" s="293"/>
      <c r="AY87" s="178"/>
      <c r="AZ87" s="274">
        <f>RPA_RetencaoISS</f>
        <v>-500</v>
      </c>
      <c r="BA87" s="274"/>
      <c r="BB87" s="274"/>
      <c r="BC87" s="274"/>
      <c r="BD87" s="274"/>
      <c r="BE87" s="274"/>
      <c r="BF87" s="274"/>
      <c r="BG87" s="274"/>
      <c r="BH87" s="274"/>
      <c r="BI87" s="176"/>
    </row>
    <row r="88" spans="6:86" ht="13.5" customHeight="1" x14ac:dyDescent="0.25">
      <c r="F88" s="176"/>
      <c r="H88" s="285" t="s">
        <v>7</v>
      </c>
      <c r="I88" s="285"/>
      <c r="J88" s="285"/>
      <c r="K88" s="285"/>
      <c r="L88" s="285"/>
      <c r="M88" s="285"/>
      <c r="N88" s="285"/>
      <c r="O88" s="285"/>
      <c r="P88" s="285"/>
      <c r="Q88" s="285"/>
      <c r="R88" s="285"/>
      <c r="S88" s="285"/>
      <c r="T88" s="285"/>
      <c r="U88" s="285"/>
      <c r="V88" s="285"/>
      <c r="W88" s="285"/>
      <c r="X88" s="285"/>
      <c r="Y88" s="285"/>
      <c r="Z88" s="285"/>
      <c r="AA88" s="285"/>
      <c r="AB88" s="285"/>
      <c r="AC88" s="285"/>
      <c r="AD88" s="285"/>
      <c r="AE88" s="285"/>
      <c r="AF88" s="285"/>
      <c r="AG88" s="285"/>
      <c r="AH88" s="285"/>
      <c r="AI88" s="285"/>
      <c r="AJ88" s="285"/>
      <c r="AK88" s="285"/>
      <c r="AL88" s="285"/>
      <c r="AM88" s="285"/>
      <c r="AN88" s="285"/>
      <c r="AO88" s="285"/>
      <c r="AP88" s="285"/>
      <c r="AQ88" s="285"/>
      <c r="AR88" s="285"/>
      <c r="AS88" s="285"/>
      <c r="AT88" s="285"/>
      <c r="AU88" s="285"/>
      <c r="AV88" s="285"/>
      <c r="AW88" s="285"/>
      <c r="AX88" s="285"/>
      <c r="AY88" s="178"/>
      <c r="AZ88" s="294">
        <f>RPA_VlrLiq</f>
        <v>9270</v>
      </c>
      <c r="BA88" s="294"/>
      <c r="BB88" s="294"/>
      <c r="BC88" s="294"/>
      <c r="BD88" s="294"/>
      <c r="BE88" s="294"/>
      <c r="BF88" s="294"/>
      <c r="BG88" s="294"/>
      <c r="BH88" s="294"/>
      <c r="BI88" s="176"/>
    </row>
    <row r="89" spans="6:86" ht="9.9499999999999993" customHeight="1" x14ac:dyDescent="0.25">
      <c r="F89" s="176"/>
      <c r="H89" s="281" t="str">
        <f>H38</f>
        <v>(Nove mil, duzentos e setenta reais)</v>
      </c>
      <c r="I89" s="281"/>
      <c r="J89" s="281"/>
      <c r="K89" s="281"/>
      <c r="L89" s="281"/>
      <c r="M89" s="281"/>
      <c r="N89" s="281"/>
      <c r="O89" s="281"/>
      <c r="P89" s="281"/>
      <c r="Q89" s="281"/>
      <c r="R89" s="281"/>
      <c r="S89" s="281"/>
      <c r="T89" s="281"/>
      <c r="U89" s="281"/>
      <c r="V89" s="281"/>
      <c r="W89" s="281"/>
      <c r="X89" s="281"/>
      <c r="Y89" s="281"/>
      <c r="Z89" s="281"/>
      <c r="AA89" s="281"/>
      <c r="AB89" s="281"/>
      <c r="AC89" s="281"/>
      <c r="AD89" s="281"/>
      <c r="AE89" s="281"/>
      <c r="AF89" s="281"/>
      <c r="AG89" s="281"/>
      <c r="AH89" s="281"/>
      <c r="AI89" s="281"/>
      <c r="AJ89" s="281"/>
      <c r="AK89" s="281"/>
      <c r="AL89" s="281"/>
      <c r="AM89" s="281"/>
      <c r="AN89" s="281"/>
      <c r="AO89" s="281"/>
      <c r="AP89" s="281"/>
      <c r="AQ89" s="281"/>
      <c r="AR89" s="281"/>
      <c r="AS89" s="281"/>
      <c r="AT89" s="281"/>
      <c r="AU89" s="281"/>
      <c r="AV89" s="281"/>
      <c r="AW89" s="281"/>
      <c r="AX89" s="281"/>
      <c r="AY89" s="281"/>
      <c r="AZ89" s="281"/>
      <c r="BA89" s="281"/>
      <c r="BB89" s="281"/>
      <c r="BC89" s="281"/>
      <c r="BD89" s="281"/>
      <c r="BE89" s="281"/>
      <c r="BF89" s="281"/>
      <c r="BG89" s="281"/>
      <c r="BH89" s="281"/>
      <c r="BI89" s="176"/>
    </row>
    <row r="90" spans="6:86" ht="9.9499999999999993" customHeight="1" x14ac:dyDescent="0.25">
      <c r="F90" s="176"/>
      <c r="H90" s="281"/>
      <c r="I90" s="281"/>
      <c r="J90" s="281"/>
      <c r="K90" s="281"/>
      <c r="L90" s="281"/>
      <c r="M90" s="281"/>
      <c r="N90" s="281"/>
      <c r="O90" s="281"/>
      <c r="P90" s="281"/>
      <c r="Q90" s="281"/>
      <c r="R90" s="281"/>
      <c r="S90" s="281"/>
      <c r="T90" s="281"/>
      <c r="U90" s="281"/>
      <c r="V90" s="281"/>
      <c r="W90" s="281"/>
      <c r="X90" s="281"/>
      <c r="Y90" s="281"/>
      <c r="Z90" s="281"/>
      <c r="AA90" s="281"/>
      <c r="AB90" s="281"/>
      <c r="AC90" s="281"/>
      <c r="AD90" s="281"/>
      <c r="AE90" s="281"/>
      <c r="AF90" s="281"/>
      <c r="AG90" s="281"/>
      <c r="AH90" s="281"/>
      <c r="AI90" s="281"/>
      <c r="AJ90" s="281"/>
      <c r="AK90" s="281"/>
      <c r="AL90" s="281"/>
      <c r="AM90" s="281"/>
      <c r="AN90" s="281"/>
      <c r="AO90" s="281"/>
      <c r="AP90" s="281"/>
      <c r="AQ90" s="281"/>
      <c r="AR90" s="281"/>
      <c r="AS90" s="281"/>
      <c r="AT90" s="281"/>
      <c r="AU90" s="281"/>
      <c r="AV90" s="281"/>
      <c r="AW90" s="281"/>
      <c r="AX90" s="281"/>
      <c r="AY90" s="281"/>
      <c r="AZ90" s="281"/>
      <c r="BA90" s="281"/>
      <c r="BB90" s="281"/>
      <c r="BC90" s="281"/>
      <c r="BD90" s="281"/>
      <c r="BE90" s="281"/>
      <c r="BF90" s="281"/>
      <c r="BG90" s="281"/>
      <c r="BH90" s="281"/>
      <c r="BI90" s="176"/>
    </row>
    <row r="91" spans="6:86" ht="3" customHeight="1" x14ac:dyDescent="0.25">
      <c r="F91" s="176"/>
      <c r="G91" s="181"/>
      <c r="H91" s="182"/>
      <c r="I91" s="181"/>
      <c r="J91" s="181"/>
      <c r="K91" s="181"/>
      <c r="L91" s="181"/>
      <c r="M91" s="181"/>
      <c r="N91" s="181"/>
      <c r="O91" s="181"/>
      <c r="P91" s="181"/>
      <c r="Q91" s="181"/>
      <c r="R91" s="181"/>
      <c r="S91" s="181"/>
      <c r="T91" s="181"/>
      <c r="U91" s="181"/>
      <c r="V91" s="181"/>
      <c r="W91" s="181"/>
      <c r="X91" s="181"/>
      <c r="Y91" s="181"/>
      <c r="Z91" s="181"/>
      <c r="AA91" s="181"/>
      <c r="AB91" s="181"/>
      <c r="AC91" s="181"/>
      <c r="AD91" s="181"/>
      <c r="AE91" s="181"/>
      <c r="AF91" s="181"/>
      <c r="AG91" s="181"/>
      <c r="AH91" s="181"/>
      <c r="AI91" s="181"/>
      <c r="AJ91" s="181"/>
      <c r="AK91" s="181"/>
      <c r="AL91" s="181"/>
      <c r="AM91" s="181"/>
      <c r="AN91" s="181"/>
      <c r="AO91" s="181"/>
      <c r="AP91" s="181"/>
      <c r="AQ91" s="181"/>
      <c r="AR91" s="181"/>
      <c r="AS91" s="181"/>
      <c r="AT91" s="181"/>
      <c r="AU91" s="181"/>
      <c r="AV91" s="181"/>
      <c r="AW91" s="181"/>
      <c r="AX91" s="181"/>
      <c r="AY91" s="181"/>
      <c r="AZ91" s="181"/>
      <c r="BA91" s="181"/>
      <c r="BB91" s="181"/>
      <c r="BC91" s="181"/>
      <c r="BD91" s="181"/>
      <c r="BE91" s="181"/>
      <c r="BF91" s="181"/>
      <c r="BG91" s="181"/>
      <c r="BH91" s="181"/>
      <c r="BI91" s="186"/>
      <c r="CG91" s="188"/>
      <c r="CH91" s="188"/>
    </row>
    <row r="92" spans="6:86" ht="5.25" customHeight="1" x14ac:dyDescent="0.25">
      <c r="G92" s="181"/>
      <c r="H92" s="181"/>
      <c r="I92" s="181"/>
      <c r="J92" s="181"/>
      <c r="K92" s="181"/>
      <c r="L92" s="181"/>
      <c r="M92" s="181"/>
      <c r="N92" s="181"/>
      <c r="O92" s="181"/>
      <c r="P92" s="181"/>
      <c r="Q92" s="181"/>
      <c r="R92" s="181"/>
      <c r="S92" s="181"/>
      <c r="T92" s="181"/>
      <c r="U92" s="181"/>
      <c r="V92" s="181"/>
      <c r="W92" s="181"/>
      <c r="X92" s="181"/>
      <c r="Y92" s="181"/>
      <c r="Z92" s="181"/>
      <c r="AA92" s="181"/>
      <c r="AB92" s="181"/>
      <c r="AC92" s="181"/>
      <c r="AD92" s="181"/>
      <c r="AE92" s="181"/>
      <c r="AF92" s="181"/>
      <c r="AG92" s="181"/>
      <c r="AH92" s="181"/>
      <c r="AI92" s="181"/>
      <c r="AJ92" s="181"/>
      <c r="AK92" s="181"/>
      <c r="AL92" s="181"/>
      <c r="AM92" s="181"/>
      <c r="AN92" s="181"/>
      <c r="AO92" s="181"/>
      <c r="AP92" s="181"/>
      <c r="AQ92" s="181"/>
      <c r="AR92" s="181"/>
      <c r="AS92" s="181"/>
      <c r="AT92" s="181"/>
      <c r="AU92" s="181"/>
      <c r="AV92" s="181"/>
      <c r="AW92" s="181"/>
      <c r="AX92" s="181"/>
      <c r="AY92" s="181"/>
      <c r="AZ92" s="181"/>
      <c r="BA92" s="181"/>
      <c r="BB92" s="181"/>
      <c r="BC92" s="181"/>
      <c r="BD92" s="181"/>
      <c r="BE92" s="181"/>
      <c r="BF92" s="181"/>
      <c r="BG92" s="181"/>
      <c r="BH92" s="181"/>
      <c r="BI92" s="181"/>
      <c r="CG92" s="188"/>
      <c r="CH92" s="188"/>
    </row>
    <row r="93" spans="6:86" s="180" customFormat="1" ht="6" customHeight="1" x14ac:dyDescent="0.25">
      <c r="F93" s="189"/>
      <c r="H93" s="190"/>
      <c r="I93" s="190"/>
      <c r="J93" s="190"/>
      <c r="K93" s="190"/>
      <c r="L93" s="190"/>
      <c r="M93" s="190"/>
      <c r="N93" s="190"/>
      <c r="O93" s="190"/>
      <c r="P93" s="190"/>
      <c r="Q93" s="190"/>
      <c r="R93" s="190"/>
      <c r="S93" s="190"/>
      <c r="T93" s="190"/>
      <c r="U93" s="190"/>
      <c r="V93" s="190"/>
      <c r="W93" s="190"/>
      <c r="X93" s="190"/>
      <c r="Y93" s="190"/>
      <c r="Z93" s="190"/>
      <c r="AA93" s="190"/>
      <c r="AB93" s="190"/>
      <c r="AC93" s="190"/>
      <c r="AD93" s="190"/>
      <c r="AE93" s="190"/>
      <c r="AF93" s="190"/>
      <c r="AG93" s="190"/>
      <c r="AH93" s="190"/>
      <c r="AI93" s="190"/>
      <c r="AJ93" s="190"/>
      <c r="AK93" s="190"/>
      <c r="AL93" s="190"/>
      <c r="AM93" s="190"/>
      <c r="AN93" s="190"/>
      <c r="AO93" s="190"/>
      <c r="AP93" s="190"/>
      <c r="AQ93" s="190"/>
      <c r="AR93" s="190"/>
      <c r="AS93" s="190"/>
      <c r="AT93" s="190"/>
      <c r="AU93" s="190"/>
      <c r="AV93" s="190"/>
      <c r="AW93" s="190"/>
      <c r="AX93" s="190"/>
      <c r="AY93" s="190"/>
      <c r="AZ93" s="190"/>
      <c r="BA93" s="190"/>
      <c r="BB93" s="190"/>
      <c r="BC93" s="190"/>
      <c r="BD93" s="190"/>
      <c r="BE93" s="190"/>
      <c r="BF93" s="190"/>
      <c r="BG93" s="190"/>
      <c r="BH93" s="190"/>
      <c r="BI93" s="191"/>
      <c r="BJ93" s="177"/>
      <c r="BK93" s="177"/>
      <c r="BL93" s="177"/>
      <c r="BM93" s="177"/>
      <c r="BN93" s="177"/>
      <c r="BO93" s="177"/>
      <c r="BP93" s="177"/>
      <c r="BQ93" s="177"/>
      <c r="BR93" s="177"/>
      <c r="BS93" s="177"/>
      <c r="BT93" s="177"/>
      <c r="BU93" s="177"/>
      <c r="BV93" s="177"/>
      <c r="BW93" s="177"/>
      <c r="BX93" s="177"/>
      <c r="BY93" s="177"/>
      <c r="BZ93" s="177"/>
      <c r="CA93" s="177"/>
      <c r="CB93" s="177"/>
      <c r="CC93" s="177"/>
      <c r="CD93" s="177"/>
      <c r="CE93" s="177"/>
      <c r="CF93" s="177"/>
    </row>
    <row r="94" spans="6:86" s="180" customFormat="1" ht="9.9499999999999993" customHeight="1" x14ac:dyDescent="0.25">
      <c r="F94" s="189"/>
      <c r="G94" s="190"/>
      <c r="H94" s="295" t="str">
        <f>RPA_Cidade</f>
        <v>São Paulo,</v>
      </c>
      <c r="I94" s="295"/>
      <c r="J94" s="295"/>
      <c r="K94" s="295"/>
      <c r="L94" s="295"/>
      <c r="M94" s="295"/>
      <c r="N94" s="295"/>
      <c r="O94" s="295"/>
      <c r="P94" s="295"/>
      <c r="Q94" s="295"/>
      <c r="R94" s="295"/>
      <c r="S94" s="295"/>
      <c r="T94" s="295"/>
      <c r="U94" s="295"/>
      <c r="V94" s="295"/>
      <c r="W94" s="295"/>
      <c r="X94" s="295"/>
      <c r="Y94" s="295"/>
      <c r="Z94" s="295"/>
      <c r="AA94" s="295"/>
      <c r="AB94" s="295"/>
      <c r="AC94" s="295"/>
      <c r="AD94" s="295"/>
      <c r="AE94" s="296">
        <f>RPA_Data</f>
        <v>43411</v>
      </c>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189"/>
      <c r="BJ94" s="177"/>
      <c r="BK94" s="177"/>
      <c r="BL94" s="177"/>
      <c r="BM94" s="177"/>
      <c r="BN94" s="177"/>
      <c r="BO94" s="177"/>
      <c r="BP94" s="177"/>
      <c r="BQ94" s="177"/>
      <c r="BR94" s="177"/>
      <c r="BS94" s="177"/>
      <c r="BT94" s="177"/>
      <c r="BU94" s="177"/>
      <c r="BV94" s="177"/>
      <c r="BW94" s="177"/>
      <c r="BX94" s="177"/>
      <c r="BY94" s="177"/>
      <c r="BZ94" s="177"/>
      <c r="CA94" s="177"/>
      <c r="CB94" s="177"/>
      <c r="CC94" s="177"/>
      <c r="CD94" s="177"/>
      <c r="CE94" s="177"/>
      <c r="CF94" s="177"/>
    </row>
    <row r="95" spans="6:86" ht="3" customHeight="1" x14ac:dyDescent="0.25">
      <c r="F95" s="176"/>
      <c r="G95" s="181"/>
      <c r="H95" s="198"/>
      <c r="I95" s="198"/>
      <c r="J95" s="198"/>
      <c r="K95" s="198"/>
      <c r="L95" s="198"/>
      <c r="M95" s="198"/>
      <c r="N95" s="198"/>
      <c r="O95" s="198"/>
      <c r="P95" s="198"/>
      <c r="Q95" s="198"/>
      <c r="R95" s="198"/>
      <c r="S95" s="198"/>
      <c r="T95" s="198"/>
      <c r="U95" s="198"/>
      <c r="V95" s="198"/>
      <c r="W95" s="198"/>
      <c r="X95" s="198"/>
      <c r="Y95" s="198"/>
      <c r="Z95" s="198"/>
      <c r="AA95" s="198"/>
      <c r="AB95" s="198"/>
      <c r="AC95" s="198"/>
      <c r="AD95" s="198"/>
      <c r="AE95" s="199"/>
      <c r="AF95" s="199"/>
      <c r="AG95" s="199"/>
      <c r="AH95" s="199"/>
      <c r="AI95" s="199"/>
      <c r="AJ95" s="199"/>
      <c r="AK95" s="199"/>
      <c r="AL95" s="199"/>
      <c r="AM95" s="199"/>
      <c r="AN95" s="199"/>
      <c r="AO95" s="199"/>
      <c r="AP95" s="199"/>
      <c r="AQ95" s="199"/>
      <c r="AR95" s="199"/>
      <c r="AS95" s="199"/>
      <c r="AT95" s="199"/>
      <c r="AU95" s="199"/>
      <c r="AV95" s="199"/>
      <c r="AW95" s="199"/>
      <c r="AX95" s="199"/>
      <c r="AY95" s="199"/>
      <c r="AZ95" s="199"/>
      <c r="BA95" s="199"/>
      <c r="BB95" s="199"/>
      <c r="BC95" s="199"/>
      <c r="BD95" s="199"/>
      <c r="BE95" s="199"/>
      <c r="BF95" s="199"/>
      <c r="BG95" s="199"/>
      <c r="BH95" s="199"/>
      <c r="BI95" s="186"/>
    </row>
    <row r="96" spans="6:86" ht="8.25" customHeight="1" x14ac:dyDescent="0.25">
      <c r="G96" s="281" t="str">
        <f>G45</f>
        <v>Empresa Tomadora dos Serviços</v>
      </c>
      <c r="H96" s="281"/>
      <c r="I96" s="281"/>
      <c r="J96" s="281"/>
      <c r="K96" s="281"/>
      <c r="L96" s="281"/>
      <c r="M96" s="281"/>
      <c r="N96" s="281"/>
      <c r="O96" s="281"/>
      <c r="P96" s="281"/>
      <c r="Q96" s="281"/>
      <c r="R96" s="281"/>
      <c r="S96" s="281"/>
      <c r="T96" s="281"/>
      <c r="U96" s="281"/>
      <c r="V96" s="281"/>
      <c r="W96" s="281"/>
      <c r="X96" s="281"/>
      <c r="Y96" s="281"/>
      <c r="Z96" s="281"/>
      <c r="AA96" s="281"/>
      <c r="AB96" s="281"/>
      <c r="AC96" s="281"/>
      <c r="AD96" s="281"/>
      <c r="AE96" s="178"/>
      <c r="AF96" s="178"/>
      <c r="AG96" s="178"/>
      <c r="AH96" s="178"/>
      <c r="AI96" s="178"/>
      <c r="AJ96" s="178"/>
      <c r="AK96" s="178"/>
      <c r="AL96" s="281" t="s">
        <v>15</v>
      </c>
      <c r="AM96" s="281"/>
      <c r="AN96" s="281"/>
      <c r="AO96" s="281"/>
      <c r="AP96" s="281"/>
      <c r="AQ96" s="281"/>
      <c r="AR96" s="281"/>
      <c r="AS96" s="281"/>
      <c r="AT96" s="281"/>
      <c r="AU96" s="281"/>
      <c r="AV96" s="281"/>
      <c r="AW96" s="281"/>
      <c r="AX96" s="281"/>
      <c r="AY96" s="281"/>
      <c r="AZ96" s="281"/>
      <c r="BA96" s="281"/>
      <c r="BB96" s="281"/>
      <c r="BC96" s="281"/>
      <c r="BD96" s="281"/>
      <c r="BE96" s="281"/>
      <c r="BF96" s="281"/>
      <c r="BG96" s="281"/>
      <c r="BH96" s="281"/>
      <c r="BI96" s="281"/>
    </row>
    <row r="97" spans="7:61" ht="9.9499999999999993" customHeight="1" x14ac:dyDescent="0.25">
      <c r="G97" s="281"/>
      <c r="H97" s="281"/>
      <c r="I97" s="281"/>
      <c r="J97" s="281"/>
      <c r="K97" s="281"/>
      <c r="L97" s="281"/>
      <c r="M97" s="281"/>
      <c r="N97" s="281"/>
      <c r="O97" s="281"/>
      <c r="P97" s="281"/>
      <c r="Q97" s="281"/>
      <c r="R97" s="281"/>
      <c r="S97" s="281"/>
      <c r="T97" s="281"/>
      <c r="U97" s="281"/>
      <c r="V97" s="281"/>
      <c r="W97" s="281"/>
      <c r="X97" s="281"/>
      <c r="Y97" s="281"/>
      <c r="Z97" s="281"/>
      <c r="AA97" s="281"/>
      <c r="AB97" s="281"/>
      <c r="AC97" s="281"/>
      <c r="AD97" s="281"/>
      <c r="AE97" s="178"/>
      <c r="AF97" s="178"/>
      <c r="AG97" s="178"/>
      <c r="AH97" s="178"/>
      <c r="AI97" s="178"/>
      <c r="AJ97" s="178"/>
      <c r="AK97" s="178"/>
      <c r="AL97" s="281"/>
      <c r="AM97" s="281"/>
      <c r="AN97" s="281"/>
      <c r="AO97" s="281"/>
      <c r="AP97" s="281"/>
      <c r="AQ97" s="281"/>
      <c r="AR97" s="281"/>
      <c r="AS97" s="281"/>
      <c r="AT97" s="281"/>
      <c r="AU97" s="281"/>
      <c r="AV97" s="281"/>
      <c r="AW97" s="281"/>
      <c r="AX97" s="281"/>
      <c r="AY97" s="281"/>
      <c r="AZ97" s="281"/>
      <c r="BA97" s="281"/>
      <c r="BB97" s="281"/>
      <c r="BC97" s="281"/>
      <c r="BD97" s="281"/>
      <c r="BE97" s="281"/>
      <c r="BF97" s="281"/>
      <c r="BG97" s="281"/>
      <c r="BH97" s="281"/>
      <c r="BI97" s="281"/>
    </row>
    <row r="99" spans="7:61" ht="11.25" x14ac:dyDescent="0.25">
      <c r="G99" s="192"/>
      <c r="H99" s="192"/>
      <c r="I99" s="192"/>
      <c r="J99" s="192"/>
      <c r="K99" s="192"/>
      <c r="L99" s="192"/>
      <c r="M99" s="192"/>
      <c r="N99" s="192"/>
      <c r="O99" s="192"/>
      <c r="P99" s="192"/>
      <c r="Q99" s="192"/>
      <c r="R99" s="192"/>
      <c r="S99" s="192"/>
      <c r="T99" s="192"/>
      <c r="U99" s="192"/>
      <c r="V99" s="192"/>
      <c r="W99" s="192"/>
      <c r="X99" s="192"/>
      <c r="Y99" s="192"/>
      <c r="Z99" s="192"/>
      <c r="AA99" s="192"/>
      <c r="AB99" s="192"/>
      <c r="AC99" s="192"/>
      <c r="AD99" s="192"/>
      <c r="AE99" s="193"/>
      <c r="AF99" s="193"/>
      <c r="AG99" s="193"/>
      <c r="AH99" s="193"/>
      <c r="AI99" s="193"/>
      <c r="AJ99" s="193"/>
      <c r="AK99" s="193"/>
      <c r="AL99" s="194"/>
      <c r="AM99" s="283"/>
      <c r="AN99" s="283"/>
      <c r="AO99" s="283"/>
      <c r="AP99" s="283"/>
      <c r="AQ99" s="283"/>
      <c r="AR99" s="283"/>
      <c r="AS99" s="283"/>
      <c r="AT99" s="283"/>
      <c r="AU99" s="283"/>
      <c r="AV99" s="283"/>
      <c r="AW99" s="283"/>
      <c r="AX99" s="283"/>
      <c r="AY99" s="283"/>
      <c r="AZ99" s="283"/>
      <c r="BA99" s="283"/>
      <c r="BB99" s="283"/>
      <c r="BC99" s="283"/>
      <c r="BD99" s="283"/>
      <c r="BE99" s="283"/>
      <c r="BF99" s="283"/>
      <c r="BG99" s="283"/>
      <c r="BH99" s="283"/>
      <c r="BI99" s="283"/>
    </row>
    <row r="100" spans="7:61" ht="11.25" x14ac:dyDescent="0.25">
      <c r="G100" s="282" t="str">
        <f>RPA_TomadorAssinatura</f>
        <v>Quota Empreendimentos Imobiliários Ltda.</v>
      </c>
      <c r="H100" s="282"/>
      <c r="I100" s="282"/>
      <c r="J100" s="282"/>
      <c r="K100" s="282"/>
      <c r="L100" s="282"/>
      <c r="M100" s="282"/>
      <c r="N100" s="282"/>
      <c r="O100" s="282"/>
      <c r="P100" s="282"/>
      <c r="Q100" s="282"/>
      <c r="R100" s="282"/>
      <c r="S100" s="282"/>
      <c r="T100" s="282"/>
      <c r="U100" s="282"/>
      <c r="V100" s="282"/>
      <c r="W100" s="282"/>
      <c r="X100" s="282"/>
      <c r="Y100" s="282"/>
      <c r="Z100" s="282"/>
      <c r="AA100" s="282"/>
      <c r="AB100" s="282"/>
      <c r="AC100" s="282"/>
      <c r="AD100" s="282"/>
      <c r="AE100" s="195"/>
      <c r="AF100" s="195"/>
      <c r="AG100" s="195"/>
      <c r="AH100" s="195"/>
      <c r="AI100" s="195"/>
      <c r="AJ100" s="195"/>
      <c r="AK100" s="195"/>
      <c r="AL100" s="282" t="str">
        <f>RPA_PrestadorAssinante</f>
        <v>Régis Marinho</v>
      </c>
      <c r="AM100" s="282"/>
      <c r="AN100" s="282"/>
      <c r="AO100" s="282"/>
      <c r="AP100" s="282"/>
      <c r="AQ100" s="282"/>
      <c r="AR100" s="282"/>
      <c r="AS100" s="282"/>
      <c r="AT100" s="282"/>
      <c r="AU100" s="282"/>
      <c r="AV100" s="282"/>
      <c r="AW100" s="282"/>
      <c r="AX100" s="282"/>
      <c r="AY100" s="282"/>
      <c r="AZ100" s="282"/>
      <c r="BA100" s="282"/>
      <c r="BB100" s="282"/>
      <c r="BC100" s="282"/>
      <c r="BD100" s="282"/>
      <c r="BE100" s="282"/>
      <c r="BF100" s="282"/>
      <c r="BG100" s="282"/>
      <c r="BH100" s="282"/>
      <c r="BI100" s="282"/>
    </row>
    <row r="101" spans="7:61" ht="9.9499999999999993" customHeight="1" x14ac:dyDescent="0.25">
      <c r="G101" s="281" t="str">
        <f>RPA_TomadorAssinante</f>
        <v>Jorj Petru Kalman</v>
      </c>
      <c r="H101" s="281"/>
      <c r="I101" s="281"/>
      <c r="J101" s="281"/>
      <c r="K101" s="281"/>
      <c r="L101" s="281"/>
      <c r="M101" s="281"/>
      <c r="N101" s="281"/>
      <c r="O101" s="281"/>
      <c r="P101" s="281"/>
      <c r="Q101" s="281"/>
      <c r="R101" s="281"/>
      <c r="S101" s="281"/>
      <c r="T101" s="281"/>
      <c r="U101" s="281"/>
      <c r="V101" s="281"/>
      <c r="W101" s="281"/>
      <c r="X101" s="281"/>
      <c r="Y101" s="281"/>
      <c r="Z101" s="281"/>
      <c r="AA101" s="281"/>
      <c r="AB101" s="281"/>
      <c r="AC101" s="281"/>
      <c r="AD101" s="281"/>
      <c r="AL101" s="281"/>
      <c r="AM101" s="281"/>
      <c r="AN101" s="281"/>
      <c r="AO101" s="281"/>
      <c r="AP101" s="281"/>
      <c r="AQ101" s="281"/>
      <c r="AR101" s="281"/>
      <c r="AS101" s="281"/>
      <c r="AT101" s="281"/>
      <c r="AU101" s="281"/>
      <c r="AV101" s="281"/>
      <c r="AW101" s="281"/>
      <c r="AX101" s="281"/>
      <c r="AY101" s="281"/>
      <c r="AZ101" s="281"/>
      <c r="BA101" s="281"/>
      <c r="BB101" s="281"/>
      <c r="BC101" s="281"/>
      <c r="BD101" s="281"/>
      <c r="BE101" s="281"/>
      <c r="BF101" s="281"/>
      <c r="BG101" s="281"/>
      <c r="BH101" s="281"/>
      <c r="BI101" s="281"/>
    </row>
    <row r="104" spans="7:61" ht="9.9499999999999993" customHeight="1" x14ac:dyDescent="0.25">
      <c r="H104" s="177"/>
    </row>
    <row r="105" spans="7:61" ht="9.9499999999999993" customHeight="1" x14ac:dyDescent="0.25">
      <c r="H105" s="177"/>
    </row>
    <row r="106" spans="7:61" ht="9.9499999999999993" customHeight="1" x14ac:dyDescent="0.25">
      <c r="H106" s="177"/>
    </row>
  </sheetData>
  <sheetProtection algorithmName="SHA-512" hashValue="WNoc1+sIE57PN91ar3/MwakTDFu2TBdJNHJNf03E1P8wkd/KVYDEG9lMkJqGtDcW38oqeyyAm1rHs0fnt58MEg==" saltValue="GIetDRXANc6E7S/5uxPTpg==" spinCount="100000" sheet="1" objects="1" scenarios="1" selectLockedCells="1"/>
  <mergeCells count="92">
    <mergeCell ref="G2:BI2"/>
    <mergeCell ref="G53:BI53"/>
    <mergeCell ref="G6:AG6"/>
    <mergeCell ref="G5:AG5"/>
    <mergeCell ref="AI5:BI5"/>
    <mergeCell ref="H35:AX35"/>
    <mergeCell ref="AZ35:BH35"/>
    <mergeCell ref="AI6:AP6"/>
    <mergeCell ref="AQ6:AY6"/>
    <mergeCell ref="H43:AD43"/>
    <mergeCell ref="AE43:BH43"/>
    <mergeCell ref="AH4:AH7"/>
    <mergeCell ref="H10:BH11"/>
    <mergeCell ref="AZ37:BH37"/>
    <mergeCell ref="AU36:AX36"/>
    <mergeCell ref="H19:AX20"/>
    <mergeCell ref="G96:AD97"/>
    <mergeCell ref="AL96:BI97"/>
    <mergeCell ref="AM99:BI99"/>
    <mergeCell ref="G100:AD100"/>
    <mergeCell ref="AL100:BI101"/>
    <mergeCell ref="G101:AD101"/>
    <mergeCell ref="H88:AX88"/>
    <mergeCell ref="AZ88:BH88"/>
    <mergeCell ref="H89:BH90"/>
    <mergeCell ref="H94:AD94"/>
    <mergeCell ref="AE94:BH94"/>
    <mergeCell ref="H84:AX84"/>
    <mergeCell ref="AZ84:BH84"/>
    <mergeCell ref="H85:AX85"/>
    <mergeCell ref="AZ85:BH85"/>
    <mergeCell ref="H87:AT87"/>
    <mergeCell ref="AU87:AX87"/>
    <mergeCell ref="AZ87:BH87"/>
    <mergeCell ref="H86:AX86"/>
    <mergeCell ref="AZ86:BH86"/>
    <mergeCell ref="H76:AX77"/>
    <mergeCell ref="AZ76:BH77"/>
    <mergeCell ref="H78:AX79"/>
    <mergeCell ref="AZ78:BH79"/>
    <mergeCell ref="H83:AX83"/>
    <mergeCell ref="AZ83:BH83"/>
    <mergeCell ref="H70:AX71"/>
    <mergeCell ref="AZ70:BH71"/>
    <mergeCell ref="H72:AX73"/>
    <mergeCell ref="AZ72:BH73"/>
    <mergeCell ref="H74:AX75"/>
    <mergeCell ref="AZ74:BH75"/>
    <mergeCell ref="H61:BH62"/>
    <mergeCell ref="H66:AX67"/>
    <mergeCell ref="AZ66:BH67"/>
    <mergeCell ref="BL67:CJ67"/>
    <mergeCell ref="H68:AX69"/>
    <mergeCell ref="AZ68:BH69"/>
    <mergeCell ref="H34:AX34"/>
    <mergeCell ref="AZ36:BH36"/>
    <mergeCell ref="AH55:AH58"/>
    <mergeCell ref="G56:AG56"/>
    <mergeCell ref="AI56:BI56"/>
    <mergeCell ref="G57:AG57"/>
    <mergeCell ref="H25:AX26"/>
    <mergeCell ref="AZ25:BH26"/>
    <mergeCell ref="H23:AX24"/>
    <mergeCell ref="AZ23:BH24"/>
    <mergeCell ref="G50:AD50"/>
    <mergeCell ref="AL49:BI50"/>
    <mergeCell ref="H38:BH39"/>
    <mergeCell ref="G49:AD49"/>
    <mergeCell ref="AM48:BI48"/>
    <mergeCell ref="AL45:BI46"/>
    <mergeCell ref="G45:AD46"/>
    <mergeCell ref="H32:AX32"/>
    <mergeCell ref="AZ33:BH33"/>
    <mergeCell ref="AZ34:BH34"/>
    <mergeCell ref="H37:AX37"/>
    <mergeCell ref="H36:AT36"/>
    <mergeCell ref="AZ6:BI7"/>
    <mergeCell ref="AI57:AP57"/>
    <mergeCell ref="AQ57:AY57"/>
    <mergeCell ref="AZ57:BI57"/>
    <mergeCell ref="BL16:CJ16"/>
    <mergeCell ref="H17:AX18"/>
    <mergeCell ref="H21:AX22"/>
    <mergeCell ref="AZ19:BH20"/>
    <mergeCell ref="AZ15:BH16"/>
    <mergeCell ref="AZ17:BH18"/>
    <mergeCell ref="AZ21:BH22"/>
    <mergeCell ref="H15:AX16"/>
    <mergeCell ref="H27:AX28"/>
    <mergeCell ref="AZ27:BH28"/>
    <mergeCell ref="H33:AX33"/>
    <mergeCell ref="AZ32:BH32"/>
  </mergeCells>
  <dataValidations count="5">
    <dataValidation type="list" allowBlank="1" showInputMessage="1" showErrorMessage="1" sqref="AI5 AI56" xr:uid="{9982B807-5B18-41A3-B049-0F6C3A823DA8}">
      <formula1>PrestadoresNomes</formula1>
    </dataValidation>
    <dataValidation type="custom" allowBlank="1" showInputMessage="1" showErrorMessage="1" sqref="AZ32:BH32" xr:uid="{8B81DD9A-9839-46A2-BCBF-B2BCFEAACE89}">
      <formula1>AZ32&lt;=#REF!</formula1>
    </dataValidation>
    <dataValidation type="custom" allowBlank="1" showInputMessage="1" showErrorMessage="1" sqref="AZ37:BH37" xr:uid="{68105881-126C-4F1E-84A3-ABD945121B2E}">
      <formula1>AZ37&lt;=I18</formula1>
    </dataValidation>
    <dataValidation type="custom" allowBlank="1" showInputMessage="1" showErrorMessage="1" sqref="AZ33:BH33" xr:uid="{6734A724-BA27-4F83-B404-76EBEB67155A}">
      <formula1>AZ33&lt;=I12</formula1>
    </dataValidation>
    <dataValidation type="custom" allowBlank="1" showInputMessage="1" showErrorMessage="1" sqref="AZ34:BH36" xr:uid="{D9235EDC-CE38-4003-A6F0-C067822C9140}">
      <formula1>AZ34&lt;=I14</formula1>
    </dataValidation>
  </dataValidations>
  <printOptions horizontalCentered="1"/>
  <pageMargins left="0.27559055118110237" right="0.11811023622047245" top="0.23" bottom="0.55118110236220474" header="0.23622047244094491" footer="0.51181102362204722"/>
  <pageSetup paperSize="9" scale="95"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1B3B8-4356-44AD-8710-08EC376729E3}">
  <sheetPr codeName="sht_TabIRINSS">
    <tabColor theme="4" tint="0.59999389629810485"/>
    <pageSetUpPr fitToPage="1"/>
  </sheetPr>
  <dimension ref="B1:AE27"/>
  <sheetViews>
    <sheetView showGridLines="0" zoomScaleNormal="100" workbookViewId="0">
      <selection activeCell="E5" sqref="E5"/>
    </sheetView>
  </sheetViews>
  <sheetFormatPr defaultColWidth="9.140625" defaultRowHeight="21" customHeight="1" x14ac:dyDescent="0.25"/>
  <cols>
    <col min="1" max="1" width="1.5703125" style="26" customWidth="1"/>
    <col min="2" max="2" width="9.140625" style="26"/>
    <col min="3" max="3" width="10.85546875" style="16" customWidth="1"/>
    <col min="4" max="4" width="4.140625" style="17" customWidth="1"/>
    <col min="5" max="5" width="11.42578125" style="16" customWidth="1"/>
    <col min="6" max="6" width="9.140625" style="26" bestFit="1" customWidth="1"/>
    <col min="7" max="7" width="10.5703125" style="26" bestFit="1" customWidth="1"/>
    <col min="8" max="8" width="2" style="26" customWidth="1"/>
    <col min="9" max="9" width="2.7109375" style="26" customWidth="1"/>
    <col min="10" max="10" width="21.85546875" style="27" customWidth="1"/>
    <col min="11" max="11" width="15.7109375" style="26" customWidth="1"/>
    <col min="12" max="12" width="2.7109375" style="28" customWidth="1"/>
    <col min="13" max="13" width="24.5703125" style="26" customWidth="1"/>
    <col min="14" max="14" width="15.7109375" style="26" customWidth="1"/>
    <col min="15" max="15" width="2.7109375" style="26" customWidth="1"/>
    <col min="16" max="16" width="2" style="26" customWidth="1"/>
    <col min="17" max="17" width="1.28515625" style="26" customWidth="1"/>
    <col min="18" max="18" width="26" style="26" customWidth="1"/>
    <col min="19" max="19" width="11.7109375" style="26" customWidth="1"/>
    <col min="20" max="20" width="1.28515625" style="26" customWidth="1"/>
    <col min="21" max="16384" width="9.140625" style="26"/>
  </cols>
  <sheetData>
    <row r="1" spans="2:31" ht="5.25" customHeight="1" thickBot="1" x14ac:dyDescent="0.3"/>
    <row r="2" spans="2:31" ht="16.5" customHeight="1" thickTop="1" x14ac:dyDescent="0.25">
      <c r="B2" s="301" t="s">
        <v>87</v>
      </c>
      <c r="C2" s="302"/>
      <c r="D2" s="302"/>
      <c r="E2" s="302"/>
      <c r="F2" s="302"/>
      <c r="G2" s="303"/>
      <c r="I2" s="314" t="str">
        <f ca="1">IF([0]!RPA_Registrada&gt;0,"CÁLCULO DAS RETENÇÕES DE INSS E IMPOSTO DE RENDA DO RPA Nº "&amp; 'REGISTRO DOS RPAs'!BL5&amp;"  (JÁ EMITIDO)","CÁLCULO DAS RETENÇÕES DE INSS E IMPOSTO DE RENDA DO RPA Nº "&amp; 'REGISTRO DOS RPAs'!BL5&amp;"  (A EMITIR)")</f>
        <v>CÁLCULO DAS RETENÇÕES DE INSS E IMPOSTO DE RENDA DO RPA Nº 1  (A EMITIR)</v>
      </c>
      <c r="J2" s="315"/>
      <c r="K2" s="315"/>
      <c r="L2" s="315"/>
      <c r="M2" s="315"/>
      <c r="N2" s="315"/>
      <c r="O2" s="316"/>
      <c r="Q2" s="113"/>
      <c r="R2" s="114"/>
      <c r="S2" s="114"/>
      <c r="T2" s="115"/>
    </row>
    <row r="3" spans="2:31" ht="16.5" customHeight="1" x14ac:dyDescent="0.25">
      <c r="B3" s="320" t="s">
        <v>3</v>
      </c>
      <c r="C3" s="321"/>
      <c r="D3" s="321"/>
      <c r="E3" s="322"/>
      <c r="F3" s="29" t="s">
        <v>0</v>
      </c>
      <c r="G3" s="52" t="s">
        <v>1</v>
      </c>
      <c r="I3" s="317"/>
      <c r="J3" s="318"/>
      <c r="K3" s="318"/>
      <c r="L3" s="318"/>
      <c r="M3" s="318"/>
      <c r="N3" s="318"/>
      <c r="O3" s="319"/>
      <c r="Q3" s="116"/>
      <c r="R3" s="328" t="str">
        <f ca="1">IF([0]!RPA_Registrada&gt;0,"RESUMO DO RPA Nº "&amp; 'REGISTRO DOS RPAs'!BL5&amp;"  (JÁ EMITIDO)","RESUMO DO RPA Nº "&amp; 'REGISTRO DOS RPAs'!BL5&amp;"  (A EMITIR)")</f>
        <v>RESUMO DO RPA Nº 1  (A EMITIR)</v>
      </c>
      <c r="S3" s="328"/>
      <c r="T3" s="117"/>
    </row>
    <row r="4" spans="2:31" ht="16.5" customHeight="1" x14ac:dyDescent="0.25">
      <c r="B4" s="33" t="s">
        <v>59</v>
      </c>
      <c r="C4" s="18">
        <v>0</v>
      </c>
      <c r="D4" s="34" t="s">
        <v>2</v>
      </c>
      <c r="E4" s="102">
        <v>1693.72</v>
      </c>
      <c r="F4" s="103">
        <v>0.08</v>
      </c>
      <c r="G4" s="123">
        <v>0</v>
      </c>
      <c r="I4" s="30"/>
      <c r="J4" s="323" t="s">
        <v>57</v>
      </c>
      <c r="K4" s="324"/>
      <c r="L4" s="31"/>
      <c r="M4" s="323" t="s">
        <v>58</v>
      </c>
      <c r="N4" s="324"/>
      <c r="O4" s="32"/>
      <c r="Q4" s="116"/>
      <c r="R4" s="110"/>
      <c r="S4" s="110"/>
      <c r="T4" s="117"/>
    </row>
    <row r="5" spans="2:31" ht="16.5" customHeight="1" x14ac:dyDescent="0.25">
      <c r="B5" s="33" t="s">
        <v>59</v>
      </c>
      <c r="C5" s="19">
        <f>E4+0.01</f>
        <v>1693.73</v>
      </c>
      <c r="D5" s="20" t="s">
        <v>2</v>
      </c>
      <c r="E5" s="77">
        <v>2822.9</v>
      </c>
      <c r="F5" s="104">
        <v>0.09</v>
      </c>
      <c r="G5" s="124">
        <v>0</v>
      </c>
      <c r="I5" s="35"/>
      <c r="J5" s="36" t="s">
        <v>41</v>
      </c>
      <c r="K5" s="37" t="s">
        <v>60</v>
      </c>
      <c r="L5" s="38"/>
      <c r="M5" s="36" t="s">
        <v>41</v>
      </c>
      <c r="N5" s="39" t="s">
        <v>60</v>
      </c>
      <c r="O5" s="32"/>
      <c r="Q5" s="116"/>
      <c r="R5" s="327" t="s">
        <v>68</v>
      </c>
      <c r="S5" s="327"/>
      <c r="T5" s="117"/>
    </row>
    <row r="6" spans="2:31" ht="16.5" customHeight="1" x14ac:dyDescent="0.25">
      <c r="B6" s="126" t="s">
        <v>59</v>
      </c>
      <c r="C6" s="127">
        <f>E5+0.01</f>
        <v>2822.9100000000003</v>
      </c>
      <c r="D6" s="128" t="s">
        <v>2</v>
      </c>
      <c r="E6" s="129">
        <v>5645.8</v>
      </c>
      <c r="F6" s="130">
        <v>0.11</v>
      </c>
      <c r="G6" s="125">
        <v>0</v>
      </c>
      <c r="I6" s="30"/>
      <c r="J6" s="40" t="s">
        <v>42</v>
      </c>
      <c r="K6" s="41">
        <f>IFERROR(RegValor,0)</f>
        <v>0</v>
      </c>
      <c r="L6" s="42"/>
      <c r="M6" s="43" t="s">
        <v>101</v>
      </c>
      <c r="N6" s="41">
        <f>K9</f>
        <v>0</v>
      </c>
      <c r="O6" s="32"/>
      <c r="Q6" s="116"/>
      <c r="R6" s="110" t="s">
        <v>22</v>
      </c>
      <c r="S6" s="111">
        <f>K6</f>
        <v>0</v>
      </c>
      <c r="T6" s="117"/>
      <c r="V6" s="325"/>
      <c r="W6" s="325"/>
      <c r="X6" s="325"/>
      <c r="Y6" s="325"/>
      <c r="Z6" s="325"/>
      <c r="AA6" s="325"/>
      <c r="AB6" s="325"/>
      <c r="AC6" s="325"/>
      <c r="AD6" s="325"/>
      <c r="AE6" s="325"/>
    </row>
    <row r="7" spans="2:31" ht="16.5" customHeight="1" thickBot="1" x14ac:dyDescent="0.3">
      <c r="B7" s="300" t="s">
        <v>86</v>
      </c>
      <c r="C7" s="300"/>
      <c r="D7" s="300"/>
      <c r="E7" s="300"/>
      <c r="F7" s="300"/>
      <c r="G7" s="46">
        <f>E6*F6</f>
        <v>621.03800000000001</v>
      </c>
      <c r="I7" s="30"/>
      <c r="J7" s="40" t="s">
        <v>116</v>
      </c>
      <c r="K7" s="41">
        <f>IFERROR(RegOutrosServ,0)</f>
        <v>0</v>
      </c>
      <c r="L7" s="45"/>
      <c r="M7" s="137" t="s">
        <v>138</v>
      </c>
      <c r="N7" s="138">
        <f ca="1">Base_IR</f>
        <v>0</v>
      </c>
      <c r="O7" s="32"/>
      <c r="Q7" s="116"/>
      <c r="R7" s="110" t="s">
        <v>48</v>
      </c>
      <c r="S7" s="111">
        <f ca="1">-K19</f>
        <v>0</v>
      </c>
      <c r="T7" s="117"/>
      <c r="V7" s="325"/>
      <c r="W7" s="325"/>
      <c r="X7" s="325"/>
      <c r="Y7" s="325"/>
      <c r="Z7" s="325"/>
      <c r="AA7" s="325"/>
      <c r="AB7" s="325"/>
      <c r="AC7" s="325"/>
      <c r="AD7" s="325"/>
      <c r="AE7" s="325"/>
    </row>
    <row r="8" spans="2:31" ht="16.5" customHeight="1" thickBot="1" x14ac:dyDescent="0.3">
      <c r="G8" s="44"/>
      <c r="I8" s="30"/>
      <c r="J8" s="40" t="s">
        <v>117</v>
      </c>
      <c r="K8" s="41">
        <f>IFERROR(RegOutrasEmpresas,0)</f>
        <v>0</v>
      </c>
      <c r="L8" s="45"/>
      <c r="M8" s="143" t="s">
        <v>99</v>
      </c>
      <c r="N8" s="144">
        <f ca="1">N6*N7</f>
        <v>0</v>
      </c>
      <c r="O8" s="32"/>
      <c r="Q8" s="116"/>
      <c r="R8" s="110" t="s">
        <v>82</v>
      </c>
      <c r="S8" s="112">
        <f ca="1">-N19</f>
        <v>0</v>
      </c>
      <c r="T8" s="117"/>
      <c r="V8" s="325"/>
      <c r="W8" s="325"/>
      <c r="X8" s="325"/>
      <c r="Y8" s="325"/>
      <c r="Z8" s="325"/>
      <c r="AA8" s="325"/>
      <c r="AB8" s="325"/>
      <c r="AC8" s="325"/>
      <c r="AD8" s="325"/>
      <c r="AE8" s="325"/>
    </row>
    <row r="9" spans="2:31" ht="16.5" customHeight="1" x14ac:dyDescent="0.25">
      <c r="C9" s="26"/>
      <c r="D9" s="49"/>
      <c r="E9" s="26"/>
      <c r="G9" s="44"/>
      <c r="I9" s="30"/>
      <c r="J9" s="47" t="s">
        <v>101</v>
      </c>
      <c r="K9" s="48">
        <f>SUM(K6:K8)</f>
        <v>0</v>
      </c>
      <c r="L9" s="45"/>
      <c r="M9" s="139" t="s">
        <v>43</v>
      </c>
      <c r="N9" s="140">
        <f ca="1">-K17</f>
        <v>0</v>
      </c>
      <c r="O9" s="32"/>
      <c r="Q9" s="116"/>
      <c r="R9" s="110" t="s">
        <v>105</v>
      </c>
      <c r="S9" s="112">
        <f ca="1">-K27</f>
        <v>0</v>
      </c>
      <c r="T9" s="117"/>
      <c r="V9" s="325"/>
      <c r="W9" s="325"/>
      <c r="X9" s="325"/>
      <c r="Y9" s="325"/>
      <c r="Z9" s="325"/>
      <c r="AA9" s="325"/>
      <c r="AB9" s="325"/>
      <c r="AC9" s="325"/>
      <c r="AD9" s="325"/>
      <c r="AE9" s="325"/>
    </row>
    <row r="10" spans="2:31" ht="16.5" customHeight="1" x14ac:dyDescent="0.25">
      <c r="B10" s="301" t="s">
        <v>88</v>
      </c>
      <c r="C10" s="302"/>
      <c r="D10" s="302"/>
      <c r="E10" s="302"/>
      <c r="F10" s="302"/>
      <c r="G10" s="303"/>
      <c r="I10" s="30"/>
      <c r="J10" s="50"/>
      <c r="K10" s="51"/>
      <c r="L10" s="31"/>
      <c r="M10" s="43" t="s">
        <v>4</v>
      </c>
      <c r="N10" s="41">
        <f>IFERROR(IF(K9=0,0,RegNroDependentes*-'Tabela IRRF e INSS'!G18),0)</f>
        <v>0</v>
      </c>
      <c r="O10" s="32"/>
      <c r="Q10" s="116"/>
      <c r="R10" s="110" t="s">
        <v>5</v>
      </c>
      <c r="S10" s="112">
        <f>[0]!RegISS</f>
        <v>0</v>
      </c>
      <c r="T10" s="117"/>
      <c r="V10" s="326"/>
      <c r="W10" s="326"/>
      <c r="X10" s="326"/>
      <c r="Y10" s="326"/>
      <c r="Z10" s="326"/>
      <c r="AA10" s="326"/>
      <c r="AB10" s="326"/>
      <c r="AC10" s="326"/>
      <c r="AD10" s="326"/>
      <c r="AE10" s="326"/>
    </row>
    <row r="11" spans="2:31" ht="16.5" customHeight="1" thickBot="1" x14ac:dyDescent="0.3">
      <c r="B11" s="306" t="s">
        <v>72</v>
      </c>
      <c r="C11" s="307"/>
      <c r="D11" s="307"/>
      <c r="E11" s="308"/>
      <c r="F11" s="52" t="s">
        <v>0</v>
      </c>
      <c r="G11" s="52" t="s">
        <v>1</v>
      </c>
      <c r="I11" s="30"/>
      <c r="J11" s="309" t="s">
        <v>61</v>
      </c>
      <c r="K11" s="310"/>
      <c r="L11" s="45"/>
      <c r="M11" s="43" t="s">
        <v>44</v>
      </c>
      <c r="N11" s="41">
        <f>IFERROR(-RegPensaoAlim,0)</f>
        <v>0</v>
      </c>
      <c r="O11" s="32"/>
      <c r="Q11" s="116"/>
      <c r="R11" s="121" t="s">
        <v>83</v>
      </c>
      <c r="S11" s="122">
        <f ca="1">SUM(S6:S10)</f>
        <v>0</v>
      </c>
      <c r="T11" s="117"/>
      <c r="V11" s="133"/>
      <c r="W11" s="133"/>
      <c r="X11" s="133"/>
      <c r="Y11" s="133"/>
      <c r="Z11" s="133"/>
      <c r="AA11" s="133"/>
      <c r="AB11" s="133"/>
      <c r="AC11" s="133"/>
      <c r="AD11" s="133"/>
      <c r="AE11" s="133"/>
    </row>
    <row r="12" spans="2:31" ht="16.5" customHeight="1" thickBot="1" x14ac:dyDescent="0.3">
      <c r="B12" s="33" t="s">
        <v>59</v>
      </c>
      <c r="C12" s="18">
        <v>0</v>
      </c>
      <c r="D12" s="21" t="s">
        <v>2</v>
      </c>
      <c r="E12" s="78">
        <v>1903.98</v>
      </c>
      <c r="F12" s="105">
        <v>0</v>
      </c>
      <c r="G12" s="22">
        <v>0</v>
      </c>
      <c r="I12" s="30"/>
      <c r="J12" s="36" t="s">
        <v>41</v>
      </c>
      <c r="K12" s="39" t="s">
        <v>60</v>
      </c>
      <c r="L12" s="45"/>
      <c r="M12" s="168" t="s">
        <v>45</v>
      </c>
      <c r="N12" s="169">
        <f>IFERROR(-RegOutrasDeducoes,0)</f>
        <v>0</v>
      </c>
      <c r="O12" s="32"/>
      <c r="Q12" s="116"/>
      <c r="R12" s="110"/>
      <c r="S12" s="110"/>
      <c r="T12" s="117"/>
      <c r="V12" s="133"/>
      <c r="W12" s="133"/>
      <c r="X12" s="133"/>
      <c r="Y12" s="133"/>
      <c r="Z12" s="133"/>
      <c r="AA12" s="133"/>
      <c r="AB12" s="133"/>
      <c r="AC12" s="133"/>
      <c r="AD12" s="133"/>
      <c r="AE12" s="133"/>
    </row>
    <row r="13" spans="2:31" ht="16.5" customHeight="1" thickBot="1" x14ac:dyDescent="0.3">
      <c r="B13" s="33" t="s">
        <v>59</v>
      </c>
      <c r="C13" s="19">
        <f>E12+0.01</f>
        <v>1903.99</v>
      </c>
      <c r="D13" s="20" t="s">
        <v>2</v>
      </c>
      <c r="E13" s="77">
        <v>2826.65</v>
      </c>
      <c r="F13" s="106">
        <v>7.4999999999999997E-2</v>
      </c>
      <c r="G13" s="79">
        <v>142.80000000000001</v>
      </c>
      <c r="I13" s="30"/>
      <c r="J13" s="54" t="s">
        <v>101</v>
      </c>
      <c r="K13" s="41">
        <f>K9</f>
        <v>0</v>
      </c>
      <c r="L13" s="45"/>
      <c r="M13" s="172" t="s">
        <v>23</v>
      </c>
      <c r="N13" s="173">
        <f ca="1">N8+SUM(N9:N12)</f>
        <v>0</v>
      </c>
      <c r="O13" s="32"/>
      <c r="Q13" s="116"/>
      <c r="R13" s="327" t="s">
        <v>13</v>
      </c>
      <c r="S13" s="327"/>
      <c r="T13" s="117"/>
      <c r="V13" s="133"/>
      <c r="W13" s="133"/>
      <c r="X13" s="133"/>
      <c r="Y13" s="133"/>
      <c r="Z13" s="133"/>
      <c r="AA13" s="133"/>
      <c r="AB13" s="133"/>
      <c r="AC13" s="133"/>
      <c r="AD13" s="133"/>
      <c r="AE13" s="133"/>
    </row>
    <row r="14" spans="2:31" ht="16.5" customHeight="1" thickBot="1" x14ac:dyDescent="0.3">
      <c r="B14" s="33" t="s">
        <v>59</v>
      </c>
      <c r="C14" s="19">
        <f>E13+0.01</f>
        <v>2826.6600000000003</v>
      </c>
      <c r="D14" s="20" t="s">
        <v>2</v>
      </c>
      <c r="E14" s="77">
        <v>3751.05</v>
      </c>
      <c r="F14" s="106">
        <v>0.15</v>
      </c>
      <c r="G14" s="79">
        <v>354.8</v>
      </c>
      <c r="I14" s="30"/>
      <c r="J14" s="137" t="s">
        <v>138</v>
      </c>
      <c r="K14" s="138">
        <f ca="1">Base_INSS</f>
        <v>0</v>
      </c>
      <c r="L14" s="45"/>
      <c r="M14" s="170" t="s">
        <v>62</v>
      </c>
      <c r="N14" s="171">
        <f ca="1">IFERROR(VLOOKUP(N13,PV_Tb_IR,4),0)</f>
        <v>0</v>
      </c>
      <c r="O14" s="32"/>
      <c r="Q14" s="116"/>
      <c r="R14" s="110" t="s">
        <v>84</v>
      </c>
      <c r="S14" s="112">
        <f ca="1">S11</f>
        <v>0</v>
      </c>
      <c r="T14" s="117"/>
      <c r="V14" s="133"/>
      <c r="W14" s="133"/>
      <c r="X14" s="133"/>
      <c r="Y14" s="133"/>
      <c r="Z14" s="133"/>
      <c r="AA14" s="133"/>
      <c r="AB14" s="133"/>
      <c r="AC14" s="133"/>
      <c r="AD14" s="133"/>
      <c r="AE14" s="133"/>
    </row>
    <row r="15" spans="2:31" ht="16.5" customHeight="1" thickBot="1" x14ac:dyDescent="0.3">
      <c r="B15" s="33" t="s">
        <v>59</v>
      </c>
      <c r="C15" s="19">
        <f>E14+0.01</f>
        <v>3751.0600000000004</v>
      </c>
      <c r="D15" s="20" t="s">
        <v>2</v>
      </c>
      <c r="E15" s="77">
        <v>4664.68</v>
      </c>
      <c r="F15" s="106">
        <v>0.22500000000000001</v>
      </c>
      <c r="G15" s="79">
        <v>636.13</v>
      </c>
      <c r="I15" s="30"/>
      <c r="J15" s="143" t="s">
        <v>99</v>
      </c>
      <c r="K15" s="144">
        <f ca="1">K13*K14</f>
        <v>0</v>
      </c>
      <c r="L15" s="45"/>
      <c r="M15" s="55" t="s">
        <v>63</v>
      </c>
      <c r="N15" s="46">
        <f ca="1">N13*N14</f>
        <v>0</v>
      </c>
      <c r="O15" s="32"/>
      <c r="Q15" s="116"/>
      <c r="R15" s="110" t="s">
        <v>70</v>
      </c>
      <c r="S15" s="111">
        <f ca="1">-SUM(S7:S10)</f>
        <v>0</v>
      </c>
      <c r="T15" s="117"/>
    </row>
    <row r="16" spans="2:31" ht="16.5" customHeight="1" x14ac:dyDescent="0.25">
      <c r="B16" s="59" t="s">
        <v>66</v>
      </c>
      <c r="C16" s="23">
        <f>E15</f>
        <v>4664.68</v>
      </c>
      <c r="D16" s="24"/>
      <c r="E16" s="25"/>
      <c r="F16" s="107">
        <v>0.27500000000000002</v>
      </c>
      <c r="G16" s="80">
        <v>869.36</v>
      </c>
      <c r="I16" s="30"/>
      <c r="J16" s="141" t="s">
        <v>85</v>
      </c>
      <c r="K16" s="142">
        <f ca="1">IFERROR(IF(K15=0,0,VLOOKUP(K15,C4:F6,4)),0)</f>
        <v>0</v>
      </c>
      <c r="L16" s="45"/>
      <c r="M16" s="55" t="s">
        <v>46</v>
      </c>
      <c r="N16" s="43">
        <f ca="1">IFERROR(-VLOOKUP(N13,PV_Tb_IR,5),0)</f>
        <v>0</v>
      </c>
      <c r="O16" s="32"/>
      <c r="Q16" s="116"/>
      <c r="R16" s="131" t="s">
        <v>6</v>
      </c>
      <c r="S16" s="132">
        <f ca="1">SUM(S14:S15)</f>
        <v>0</v>
      </c>
      <c r="T16" s="117"/>
    </row>
    <row r="17" spans="2:20" ht="16.5" customHeight="1" x14ac:dyDescent="0.25">
      <c r="B17" s="311" t="s">
        <v>76</v>
      </c>
      <c r="C17" s="312"/>
      <c r="D17" s="312"/>
      <c r="E17" s="312"/>
      <c r="F17" s="313"/>
      <c r="G17" s="81">
        <v>10</v>
      </c>
      <c r="H17" s="60"/>
      <c r="I17" s="30"/>
      <c r="J17" s="56" t="s">
        <v>64</v>
      </c>
      <c r="K17" s="53">
        <f ca="1">IF(K15*K16&gt;VlrMaxContrib,VlrMaxContrib,K15*K16)</f>
        <v>0</v>
      </c>
      <c r="L17" s="45"/>
      <c r="M17" s="57" t="s">
        <v>65</v>
      </c>
      <c r="N17" s="58">
        <f ca="1">SUM(N15:N16)</f>
        <v>0</v>
      </c>
      <c r="O17" s="32"/>
      <c r="Q17" s="116"/>
      <c r="R17" s="145" t="s">
        <v>106</v>
      </c>
      <c r="S17" s="146">
        <f>'REGISTRO DOS RPAs'!CM15</f>
        <v>0.2</v>
      </c>
      <c r="T17" s="117"/>
    </row>
    <row r="18" spans="2:20" ht="16.5" customHeight="1" x14ac:dyDescent="0.25">
      <c r="B18" s="311" t="s">
        <v>73</v>
      </c>
      <c r="C18" s="312"/>
      <c r="D18" s="312"/>
      <c r="E18" s="312"/>
      <c r="F18" s="313"/>
      <c r="G18" s="81">
        <v>189.59</v>
      </c>
      <c r="I18" s="30"/>
      <c r="J18" s="40" t="s">
        <v>100</v>
      </c>
      <c r="K18" s="41">
        <f>IFERROR(-RegOutrosINSS-RegOutrasEmpresasINSS,0)</f>
        <v>0</v>
      </c>
      <c r="M18" s="40" t="s">
        <v>100</v>
      </c>
      <c r="N18" s="46">
        <f>IFERROR(-RegOutrosIRRF-RegOutrasEmpresasIRRF,0)</f>
        <v>0</v>
      </c>
      <c r="O18" s="32"/>
      <c r="Q18" s="116"/>
      <c r="R18" s="110" t="s">
        <v>24</v>
      </c>
      <c r="S18" s="112">
        <f ca="1">'REGISTRO DOS RPAs'!CR15</f>
        <v>0</v>
      </c>
      <c r="T18" s="117"/>
    </row>
    <row r="19" spans="2:20" ht="21" customHeight="1" thickBot="1" x14ac:dyDescent="0.3">
      <c r="I19" s="30"/>
      <c r="J19" s="47" t="s">
        <v>140</v>
      </c>
      <c r="K19" s="48">
        <f ca="1">IF(SUM(K17:K18)&lt;0,0,SUM(K17:K18))</f>
        <v>0</v>
      </c>
      <c r="M19" s="61" t="s">
        <v>77</v>
      </c>
      <c r="N19" s="62">
        <f ca="1">IF(IF(N17&gt;-N18,N17+N18,0)&lt;VlrMinIRRF,0,IF(N17&gt;-N18,N17+N18,0))</f>
        <v>0</v>
      </c>
      <c r="O19" s="32"/>
      <c r="Q19" s="116"/>
      <c r="R19" s="121" t="s">
        <v>26</v>
      </c>
      <c r="S19" s="122">
        <f ca="1">S16+S18</f>
        <v>0</v>
      </c>
      <c r="T19" s="117"/>
    </row>
    <row r="20" spans="2:20" ht="10.5" customHeight="1" thickBot="1" x14ac:dyDescent="0.3">
      <c r="I20" s="63"/>
      <c r="J20" s="64"/>
      <c r="K20" s="65"/>
      <c r="L20" s="65"/>
      <c r="M20" s="299" t="str">
        <f ca="1">IF(OR(N17=0,IF(N17&gt;-N18,N17+N18,0)&gt;=VlrMinIRRF),"", "Valor inferior à retenção mínima informada na célula G17")</f>
        <v/>
      </c>
      <c r="N20" s="299"/>
      <c r="O20" s="66"/>
      <c r="Q20" s="118"/>
      <c r="R20" s="119"/>
      <c r="S20" s="119"/>
      <c r="T20" s="120"/>
    </row>
    <row r="21" spans="2:20" ht="6" customHeight="1" x14ac:dyDescent="0.25"/>
    <row r="22" spans="2:20" ht="21" customHeight="1" x14ac:dyDescent="0.25">
      <c r="J22" s="304" t="s">
        <v>102</v>
      </c>
      <c r="K22" s="305"/>
    </row>
    <row r="23" spans="2:20" ht="16.5" customHeight="1" x14ac:dyDescent="0.25">
      <c r="J23" s="54" t="s">
        <v>42</v>
      </c>
      <c r="K23" s="41">
        <f>K6</f>
        <v>0</v>
      </c>
    </row>
    <row r="24" spans="2:20" ht="16.5" customHeight="1" thickBot="1" x14ac:dyDescent="0.3">
      <c r="J24" s="137" t="s">
        <v>138</v>
      </c>
      <c r="K24" s="138">
        <f ca="1">Base_SEST</f>
        <v>0</v>
      </c>
    </row>
    <row r="25" spans="2:20" ht="16.5" customHeight="1" thickBot="1" x14ac:dyDescent="0.3">
      <c r="J25" s="143" t="s">
        <v>99</v>
      </c>
      <c r="K25" s="144">
        <f ca="1">K23*K24</f>
        <v>0</v>
      </c>
    </row>
    <row r="26" spans="2:20" ht="16.5" customHeight="1" x14ac:dyDescent="0.25">
      <c r="J26" s="141" t="s">
        <v>103</v>
      </c>
      <c r="K26" s="142">
        <f ca="1">Aliq_SEST</f>
        <v>0</v>
      </c>
    </row>
    <row r="27" spans="2:20" ht="21" customHeight="1" x14ac:dyDescent="0.25">
      <c r="J27" s="47" t="s">
        <v>67</v>
      </c>
      <c r="K27" s="48">
        <f ca="1">K25*K26</f>
        <v>0</v>
      </c>
    </row>
  </sheetData>
  <sheetProtection algorithmName="SHA-512" hashValue="gYBL03jp3fFH/1G+PrVuPzeviqwvEypS/pTW6qSGhscQ5hmhKi4NkdOvuaUTg/1L84WIVk329oh9p5D/th/YFw==" saltValue="57BXaErHUTtGjpUHeIpQxQ==" spinCount="100000" sheet="1" objects="1" scenarios="1"/>
  <mergeCells count="18">
    <mergeCell ref="V6:AE9"/>
    <mergeCell ref="V10:AE10"/>
    <mergeCell ref="R5:S5"/>
    <mergeCell ref="R13:S13"/>
    <mergeCell ref="R3:S3"/>
    <mergeCell ref="M20:N20"/>
    <mergeCell ref="B7:F7"/>
    <mergeCell ref="B2:G2"/>
    <mergeCell ref="J22:K22"/>
    <mergeCell ref="B10:G10"/>
    <mergeCell ref="B11:E11"/>
    <mergeCell ref="J11:K11"/>
    <mergeCell ref="B18:F18"/>
    <mergeCell ref="I2:O3"/>
    <mergeCell ref="B3:E3"/>
    <mergeCell ref="J4:K4"/>
    <mergeCell ref="M4:N4"/>
    <mergeCell ref="B17:F17"/>
  </mergeCells>
  <dataValidations count="1">
    <dataValidation type="decimal" allowBlank="1" showInputMessage="1" showErrorMessage="1" errorTitle="ERRO DE DIGITAÇÃO!" error="Campo somente aceita valor." sqref="E4:E6 E12:E15 G13:G18" xr:uid="{433CB949-5D01-4C5D-BC17-2AAF26D9EA69}">
      <formula1>1</formula1>
      <formula2>999999</formula2>
    </dataValidation>
  </dataValidations>
  <pageMargins left="0.47244094488188981" right="0.31496062992125984" top="0.98425196850393704" bottom="0.82" header="0.51181102362204722" footer="0.51181102362204722"/>
  <pageSetup scale="55" orientation="portrait" horizontalDpi="300" verticalDpi="300" r:id="rId1"/>
  <headerFooter alignWithMargins="0">
    <oddFooter>&amp;L&amp;8&amp;Z&amp;F&amp;R&amp;D / &amp;T</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19EC7-74DC-44D3-9450-460746C8E0C4}">
  <sheetPr codeName="sht_RPAsRegistrados">
    <pageSetUpPr fitToPage="1"/>
  </sheetPr>
  <dimension ref="B1:AD2"/>
  <sheetViews>
    <sheetView zoomScale="85" zoomScaleNormal="85"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5.5703125" style="76" customWidth="1"/>
    <col min="2" max="2" width="6.140625" style="159" customWidth="1"/>
    <col min="3" max="3" width="16.28515625" style="160" customWidth="1"/>
    <col min="4" max="4" width="22.85546875" style="73" customWidth="1"/>
    <col min="5" max="5" width="14" style="161" customWidth="1"/>
    <col min="6" max="6" width="42" style="76" bestFit="1" customWidth="1"/>
    <col min="7" max="7" width="26.28515625" style="76" customWidth="1"/>
    <col min="8" max="8" width="38.7109375" style="162" customWidth="1"/>
    <col min="9" max="9" width="20.42578125" style="74" bestFit="1" customWidth="1"/>
    <col min="10" max="10" width="12.42578125" style="74" customWidth="1"/>
    <col min="11" max="11" width="14.5703125" style="74" customWidth="1"/>
    <col min="12" max="12" width="12.42578125" style="74" customWidth="1"/>
    <col min="13" max="14" width="14.5703125" style="74" customWidth="1"/>
    <col min="15" max="15" width="20.42578125" style="74" bestFit="1" customWidth="1"/>
    <col min="16" max="16" width="12.42578125" style="74" customWidth="1"/>
    <col min="17" max="18" width="14.5703125" style="74" customWidth="1"/>
    <col min="19" max="19" width="14.140625" style="74" customWidth="1"/>
    <col min="20" max="20" width="14.5703125" style="74" customWidth="1"/>
    <col min="21" max="22" width="18.5703125" style="73" customWidth="1"/>
    <col min="23" max="25" width="18.5703125" style="74" customWidth="1"/>
    <col min="26" max="26" width="47.28515625" style="162" customWidth="1"/>
    <col min="27" max="27" width="18.5703125" style="73" customWidth="1"/>
    <col min="28" max="28" width="110.28515625" style="76" bestFit="1" customWidth="1"/>
    <col min="29" max="16384" width="9.140625" style="76"/>
  </cols>
  <sheetData>
    <row r="1" spans="2:30" s="84" customFormat="1" ht="20.25" customHeight="1" x14ac:dyDescent="0.25">
      <c r="B1" s="83">
        <v>0</v>
      </c>
      <c r="C1" s="83">
        <f>B1+1</f>
        <v>1</v>
      </c>
      <c r="D1" s="83">
        <f t="shared" ref="D1:AD1" si="0">C1+1</f>
        <v>2</v>
      </c>
      <c r="E1" s="83">
        <f t="shared" si="0"/>
        <v>3</v>
      </c>
      <c r="F1" s="83">
        <f t="shared" si="0"/>
        <v>4</v>
      </c>
      <c r="G1" s="83">
        <f t="shared" si="0"/>
        <v>5</v>
      </c>
      <c r="H1" s="83">
        <f t="shared" si="0"/>
        <v>6</v>
      </c>
      <c r="I1" s="83">
        <f t="shared" si="0"/>
        <v>7</v>
      </c>
      <c r="J1" s="83">
        <f t="shared" si="0"/>
        <v>8</v>
      </c>
      <c r="K1" s="83">
        <f t="shared" si="0"/>
        <v>9</v>
      </c>
      <c r="L1" s="83">
        <f t="shared" si="0"/>
        <v>10</v>
      </c>
      <c r="M1" s="83">
        <f t="shared" si="0"/>
        <v>11</v>
      </c>
      <c r="N1" s="83">
        <f t="shared" si="0"/>
        <v>12</v>
      </c>
      <c r="O1" s="83">
        <f t="shared" si="0"/>
        <v>13</v>
      </c>
      <c r="P1" s="83">
        <f t="shared" si="0"/>
        <v>14</v>
      </c>
      <c r="Q1" s="83">
        <f t="shared" si="0"/>
        <v>15</v>
      </c>
      <c r="R1" s="83">
        <f t="shared" si="0"/>
        <v>16</v>
      </c>
      <c r="S1" s="83">
        <f t="shared" si="0"/>
        <v>17</v>
      </c>
      <c r="T1" s="83">
        <f t="shared" si="0"/>
        <v>18</v>
      </c>
      <c r="U1" s="83">
        <f t="shared" si="0"/>
        <v>19</v>
      </c>
      <c r="V1" s="83">
        <f t="shared" si="0"/>
        <v>20</v>
      </c>
      <c r="W1" s="83">
        <f t="shared" si="0"/>
        <v>21</v>
      </c>
      <c r="X1" s="83">
        <f t="shared" si="0"/>
        <v>22</v>
      </c>
      <c r="Y1" s="83">
        <f t="shared" si="0"/>
        <v>23</v>
      </c>
      <c r="Z1" s="83">
        <f t="shared" si="0"/>
        <v>24</v>
      </c>
      <c r="AA1" s="83">
        <f t="shared" si="0"/>
        <v>25</v>
      </c>
      <c r="AB1" s="83">
        <f t="shared" si="0"/>
        <v>26</v>
      </c>
      <c r="AC1" s="83">
        <f t="shared" si="0"/>
        <v>27</v>
      </c>
      <c r="AD1" s="83">
        <f t="shared" si="0"/>
        <v>28</v>
      </c>
    </row>
    <row r="2" spans="2:30" s="91" customFormat="1" ht="40.5" customHeight="1" x14ac:dyDescent="0.25">
      <c r="B2" s="85" t="s">
        <v>33</v>
      </c>
      <c r="C2" s="86" t="s">
        <v>18</v>
      </c>
      <c r="D2" s="87" t="s">
        <v>34</v>
      </c>
      <c r="E2" s="88" t="s">
        <v>29</v>
      </c>
      <c r="F2" s="89" t="s">
        <v>20</v>
      </c>
      <c r="G2" s="89" t="s">
        <v>21</v>
      </c>
      <c r="H2" s="87" t="s">
        <v>19</v>
      </c>
      <c r="I2" s="90" t="s">
        <v>126</v>
      </c>
      <c r="J2" s="90" t="s">
        <v>125</v>
      </c>
      <c r="K2" s="90" t="s">
        <v>82</v>
      </c>
      <c r="L2" s="90" t="s">
        <v>123</v>
      </c>
      <c r="M2" s="90" t="s">
        <v>124</v>
      </c>
      <c r="N2" s="90" t="s">
        <v>127</v>
      </c>
      <c r="O2" s="90" t="s">
        <v>120</v>
      </c>
      <c r="P2" s="90" t="s">
        <v>121</v>
      </c>
      <c r="Q2" s="90" t="s">
        <v>122</v>
      </c>
      <c r="R2" s="90" t="s">
        <v>113</v>
      </c>
      <c r="S2" s="90" t="s">
        <v>118</v>
      </c>
      <c r="T2" s="90" t="s">
        <v>119</v>
      </c>
      <c r="U2" s="87" t="s">
        <v>30</v>
      </c>
      <c r="V2" s="87" t="s">
        <v>16</v>
      </c>
      <c r="W2" s="90" t="s">
        <v>37</v>
      </c>
      <c r="X2" s="90" t="s">
        <v>38</v>
      </c>
      <c r="Y2" s="150" t="s">
        <v>92</v>
      </c>
      <c r="Z2" s="87" t="s">
        <v>40</v>
      </c>
      <c r="AA2" s="87" t="s">
        <v>32</v>
      </c>
      <c r="AB2" s="87" t="s">
        <v>75</v>
      </c>
      <c r="AC2" s="87" t="s">
        <v>108</v>
      </c>
      <c r="AD2" s="87" t="s">
        <v>109</v>
      </c>
    </row>
  </sheetData>
  <sheetProtection algorithmName="SHA-512" hashValue="WFlHzcT2jn17lczYnGSO4lC1+dy1d/TaLpaWuYYSOtBF1cJcgM473rl1/EjVvboKC/W3PylgcExsBjXOoyEBPw==" saltValue="4VgrqcsB3PgX9gGQ8913Jg==" spinCount="100000" sheet="1" objects="1" scenarios="1"/>
  <autoFilter ref="B2:AB2" xr:uid="{1D46FBB8-C3E8-4670-B8B0-6BCED3C7BA9E}"/>
  <sortState xmlns:xlrd2="http://schemas.microsoft.com/office/spreadsheetml/2017/richdata2" ref="B3:AD6">
    <sortCondition ref="B2"/>
  </sortState>
  <printOptions horizontalCentered="1"/>
  <pageMargins left="0.28999999999999998" right="0.51181102362204722" top="0.53" bottom="0.41" header="0.27" footer="0.22"/>
  <pageSetup paperSize="9" scale="33" fitToHeight="6" orientation="landscape" horizontalDpi="300" verticalDpi="300" r:id="rId1"/>
  <headerFooter>
    <oddHeader>&amp;C&amp;"-,Negrito"&amp;12RECIBOS DE PAGAMENTO AUTÔNOMOS REGISTRADOS&amp;R&amp;P / &amp;N</oddHeader>
    <oddFooter>&amp;L&amp;8&amp;Z&amp;F&amp;R&amp;D / &amp;T</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E384-2566-4256-A64B-27BDB5FCA6E0}">
  <sheetPr codeName="Sht_Relatorio">
    <pageSetUpPr fitToPage="1"/>
  </sheetPr>
  <dimension ref="B1:K11"/>
  <sheetViews>
    <sheetView showGridLines="0" workbookViewId="0">
      <selection activeCell="E16" sqref="E16"/>
    </sheetView>
  </sheetViews>
  <sheetFormatPr defaultRowHeight="15" x14ac:dyDescent="0.25"/>
  <cols>
    <col min="1" max="1" width="1.85546875" customWidth="1"/>
    <col min="2" max="2" width="1.5703125" hidden="1" customWidth="1"/>
    <col min="3" max="3" width="10.7109375" bestFit="1" customWidth="1"/>
    <col min="4" max="4" width="25.28515625" customWidth="1"/>
    <col min="5" max="5" width="26.85546875" bestFit="1" customWidth="1"/>
    <col min="6" max="6" width="9.5703125" bestFit="1" customWidth="1"/>
    <col min="7" max="7" width="7.7109375" bestFit="1" customWidth="1"/>
    <col min="8" max="8" width="5.28515625" bestFit="1" customWidth="1"/>
    <col min="9" max="9" width="9.28515625" bestFit="1" customWidth="1"/>
    <col min="10" max="10" width="12" bestFit="1" customWidth="1"/>
    <col min="11" max="12" width="11.28515625" bestFit="1" customWidth="1"/>
  </cols>
  <sheetData>
    <row r="1" spans="3:11" ht="5.25" customHeight="1" x14ac:dyDescent="0.25"/>
    <row r="2" spans="3:11" hidden="1" x14ac:dyDescent="0.25"/>
    <row r="3" spans="3:11" x14ac:dyDescent="0.25">
      <c r="C3" s="164" t="s">
        <v>109</v>
      </c>
      <c r="D3" s="166">
        <v>2018</v>
      </c>
    </row>
    <row r="4" spans="3:11" x14ac:dyDescent="0.25">
      <c r="C4" s="164" t="s">
        <v>108</v>
      </c>
      <c r="D4" s="166">
        <v>11</v>
      </c>
    </row>
    <row r="5" spans="3:11" x14ac:dyDescent="0.25">
      <c r="C5" s="164" t="s">
        <v>136</v>
      </c>
      <c r="D5" t="s">
        <v>141</v>
      </c>
    </row>
    <row r="7" spans="3:11" x14ac:dyDescent="0.25">
      <c r="F7" s="164" t="s">
        <v>135</v>
      </c>
    </row>
    <row r="8" spans="3:11" x14ac:dyDescent="0.25">
      <c r="C8" s="174" t="s">
        <v>33</v>
      </c>
      <c r="D8" s="164" t="s">
        <v>20</v>
      </c>
      <c r="E8" s="164" t="s">
        <v>19</v>
      </c>
      <c r="F8" s="1" t="s">
        <v>134</v>
      </c>
      <c r="G8" s="1" t="s">
        <v>130</v>
      </c>
      <c r="H8" s="1" t="s">
        <v>131</v>
      </c>
      <c r="I8" s="1" t="s">
        <v>132</v>
      </c>
      <c r="J8" s="1" t="s">
        <v>133</v>
      </c>
      <c r="K8" t="s">
        <v>128</v>
      </c>
    </row>
    <row r="9" spans="3:11" x14ac:dyDescent="0.25">
      <c r="C9" s="167">
        <v>1</v>
      </c>
      <c r="D9" t="s">
        <v>89</v>
      </c>
      <c r="E9" t="s">
        <v>144</v>
      </c>
      <c r="F9" s="165">
        <v>10000</v>
      </c>
      <c r="G9" s="165">
        <v>-180</v>
      </c>
      <c r="H9" s="165">
        <v>0</v>
      </c>
      <c r="I9" s="165">
        <v>-500</v>
      </c>
      <c r="J9" s="165">
        <v>-50</v>
      </c>
      <c r="K9" s="165">
        <v>9270</v>
      </c>
    </row>
    <row r="10" spans="3:11" x14ac:dyDescent="0.25">
      <c r="C10" s="167">
        <v>2</v>
      </c>
      <c r="D10" t="s">
        <v>89</v>
      </c>
      <c r="E10" t="s">
        <v>144</v>
      </c>
      <c r="F10" s="165">
        <v>10000</v>
      </c>
      <c r="G10" s="165">
        <v>-260</v>
      </c>
      <c r="H10" s="165">
        <v>0</v>
      </c>
      <c r="I10" s="165">
        <v>-500</v>
      </c>
      <c r="J10" s="165">
        <v>-50</v>
      </c>
      <c r="K10" s="165">
        <v>9190</v>
      </c>
    </row>
    <row r="11" spans="3:11" x14ac:dyDescent="0.25">
      <c r="C11" s="167" t="s">
        <v>129</v>
      </c>
      <c r="F11" s="165">
        <v>20000</v>
      </c>
      <c r="G11" s="165">
        <v>-440</v>
      </c>
      <c r="H11" s="165">
        <v>0</v>
      </c>
      <c r="I11" s="165">
        <v>-1000</v>
      </c>
      <c r="J11" s="165">
        <v>-100</v>
      </c>
      <c r="K11" s="165">
        <v>18460</v>
      </c>
    </row>
  </sheetData>
  <printOptions horizontalCentered="1"/>
  <pageMargins left="0.31" right="0.51181102362204722" top="0.78" bottom="0.43" header="0.43" footer="0.12"/>
  <pageSetup paperSize="9" fitToHeight="5" orientation="landscape" horizontalDpi="300" verticalDpi="300" r:id="rId2"/>
  <headerFooter>
    <oddHeader>&amp;C&amp;"-,Negrito"&amp;14RELATÓRIO DE SERVIÇOS PRESTADOS</oddHeader>
    <oddFooter>&amp;R&amp;D / &amp;T</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66B23-1E87-4705-A79A-34320DA85564}">
  <sheetPr codeName="sht_Apoio"/>
  <dimension ref="B3:C3"/>
  <sheetViews>
    <sheetView workbookViewId="0">
      <selection activeCell="C3" sqref="C3"/>
    </sheetView>
  </sheetViews>
  <sheetFormatPr defaultRowHeight="15" x14ac:dyDescent="0.25"/>
  <sheetData>
    <row r="3" spans="2:3" x14ac:dyDescent="0.25">
      <c r="B3" t="s">
        <v>145</v>
      </c>
      <c r="C3" t="s">
        <v>146</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11</vt:i4>
      </vt:variant>
      <vt:variant>
        <vt:lpstr>Intervalos Nomeados</vt:lpstr>
      </vt:variant>
      <vt:variant>
        <vt:i4>83</vt:i4>
      </vt:variant>
    </vt:vector>
  </HeadingPairs>
  <TitlesOfParts>
    <vt:vector size="94" baseType="lpstr">
      <vt:lpstr>Menu</vt:lpstr>
      <vt:lpstr>Cad. Tipos de Serviços</vt:lpstr>
      <vt:lpstr>Cad. Tomadores</vt:lpstr>
      <vt:lpstr>Cad. Prestadores</vt:lpstr>
      <vt:lpstr>Cad. Cidades</vt:lpstr>
      <vt:lpstr>REGISTRO DOS RPAs</vt:lpstr>
      <vt:lpstr>RPA - Serviços</vt:lpstr>
      <vt:lpstr>Tabela IRRF e INSS</vt:lpstr>
      <vt:lpstr>RPAs Registrados</vt:lpstr>
      <vt:lpstr>Relatório Serv. Prestados</vt:lpstr>
      <vt:lpstr>Apoio</vt:lpstr>
      <vt:lpstr>Aliq_SEST</vt:lpstr>
      <vt:lpstr>'Cad. Prestadores'!Area_de_impressao</vt:lpstr>
      <vt:lpstr>'Cad. Tipos de Serviços'!Area_de_impressao</vt:lpstr>
      <vt:lpstr>'Cad. Tomadores'!Area_de_impressao</vt:lpstr>
      <vt:lpstr>'REGISTRO DOS RPAs'!Area_de_impressao</vt:lpstr>
      <vt:lpstr>'RPA - Serviços'!Area_de_impressao</vt:lpstr>
      <vt:lpstr>'RPAs Registrados'!Area_de_impressao</vt:lpstr>
      <vt:lpstr>Base_INSS</vt:lpstr>
      <vt:lpstr>Base_IR</vt:lpstr>
      <vt:lpstr>Base_SEST</vt:lpstr>
      <vt:lpstr>Cancelado</vt:lpstr>
      <vt:lpstr>ContadorRegistros</vt:lpstr>
      <vt:lpstr>DeducaoDependentes</vt:lpstr>
      <vt:lpstr>Excluir</vt:lpstr>
      <vt:lpstr>LancRestantes</vt:lpstr>
      <vt:lpstr>MaiorRPA</vt:lpstr>
      <vt:lpstr>MaiorSpin</vt:lpstr>
      <vt:lpstr>MenorRPA</vt:lpstr>
      <vt:lpstr>MostrarMsg</vt:lpstr>
      <vt:lpstr>MostrarMsg1</vt:lpstr>
      <vt:lpstr>Novo_Editar</vt:lpstr>
      <vt:lpstr>PV_Tb_IR</vt:lpstr>
      <vt:lpstr>QdeAcessos</vt:lpstr>
      <vt:lpstr>RegAliquotaISS</vt:lpstr>
      <vt:lpstr>RegCidade</vt:lpstr>
      <vt:lpstr>RegData</vt:lpstr>
      <vt:lpstr>RegDescricao</vt:lpstr>
      <vt:lpstr>RegInscrMunicipal</vt:lpstr>
      <vt:lpstr>RegINSS</vt:lpstr>
      <vt:lpstr>RegIRRF</vt:lpstr>
      <vt:lpstr>RegISS</vt:lpstr>
      <vt:lpstr>RegistroMaximo</vt:lpstr>
      <vt:lpstr>RegNroDependentes</vt:lpstr>
      <vt:lpstr>RegNroRPA</vt:lpstr>
      <vt:lpstr>RegObservaçoes</vt:lpstr>
      <vt:lpstr>RegOutrasDeducoes</vt:lpstr>
      <vt:lpstr>RegOutrasEmpresas</vt:lpstr>
      <vt:lpstr>RegOutrasEmpresasINSS</vt:lpstr>
      <vt:lpstr>RegOutrasEmpresasIRRF</vt:lpstr>
      <vt:lpstr>RegOutrosINSS</vt:lpstr>
      <vt:lpstr>RegOutrosIRRF</vt:lpstr>
      <vt:lpstr>RegOutrosServ</vt:lpstr>
      <vt:lpstr>RegPensaoAlim</vt:lpstr>
      <vt:lpstr>RegPrestador</vt:lpstr>
      <vt:lpstr>RegRespTomador</vt:lpstr>
      <vt:lpstr>RegSEST</vt:lpstr>
      <vt:lpstr>RegSomaOutrosServ</vt:lpstr>
      <vt:lpstr>RegSomaRetINSS</vt:lpstr>
      <vt:lpstr>RegSomaRetIR</vt:lpstr>
      <vt:lpstr>RegTipoServ</vt:lpstr>
      <vt:lpstr>RegTomador</vt:lpstr>
      <vt:lpstr>RegValor</vt:lpstr>
      <vt:lpstr>RegValorLiq</vt:lpstr>
      <vt:lpstr>RetIR</vt:lpstr>
      <vt:lpstr>RPA_AliquotaISS</vt:lpstr>
      <vt:lpstr>RPA_Cidade</vt:lpstr>
      <vt:lpstr>RPA_Data</vt:lpstr>
      <vt:lpstr>RPA_Dependentes</vt:lpstr>
      <vt:lpstr>RPA_Descricao</vt:lpstr>
      <vt:lpstr>RPA_I_Municipal</vt:lpstr>
      <vt:lpstr>RPA_INSS</vt:lpstr>
      <vt:lpstr>RPA_INSSOutrosServ</vt:lpstr>
      <vt:lpstr>RPA_IRRFOutrosServ</vt:lpstr>
      <vt:lpstr>RPA_OutrasRet</vt:lpstr>
      <vt:lpstr>RPA_PensaoAlim</vt:lpstr>
      <vt:lpstr>RPA_Prestador</vt:lpstr>
      <vt:lpstr>RPA_Prestador_CPF</vt:lpstr>
      <vt:lpstr>RPA_Prestador_InscrINSS</vt:lpstr>
      <vt:lpstr>RPA_Prestador_InscrPIS</vt:lpstr>
      <vt:lpstr>RPA_PrestadorAssinante</vt:lpstr>
      <vt:lpstr>RPA_Registrada</vt:lpstr>
      <vt:lpstr>RPA_RetencaoIR</vt:lpstr>
      <vt:lpstr>RPA_RetencaoISS</vt:lpstr>
      <vt:lpstr>RPA_RetencaoSEST</vt:lpstr>
      <vt:lpstr>RPA_Tomador</vt:lpstr>
      <vt:lpstr>RPA_TomadorAssinante</vt:lpstr>
      <vt:lpstr>RPA_TomadorAssinatura</vt:lpstr>
      <vt:lpstr>RPA_TomadorCNPJ</vt:lpstr>
      <vt:lpstr>RPA_Valor</vt:lpstr>
      <vt:lpstr>RPA_VlrLiq</vt:lpstr>
      <vt:lpstr>RPA_VlrOutrosServ</vt:lpstr>
      <vt:lpstr>VlrMaxContrib</vt:lpstr>
      <vt:lpstr>VlrMinIRRF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Regis Marinho</dc:creator>
  <cp:lastModifiedBy>Regis Marinho</cp:lastModifiedBy>
  <cp:lastPrinted>2018-11-27T15:34:07Z</cp:lastPrinted>
  <dcterms:created xsi:type="dcterms:W3CDTF">2018-11-23T17:36:15Z</dcterms:created>
  <dcterms:modified xsi:type="dcterms:W3CDTF">2018-12-02T13:19:36Z</dcterms:modified>
</cp:coreProperties>
</file>